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sl22263_bristol_ac_uk/Documents/Documents/Data to be landmarked/CT scan images/Loricariidae Samples/analyses/Pharyngeal figures/other journal/code for paper/"/>
    </mc:Choice>
  </mc:AlternateContent>
  <xr:revisionPtr revIDLastSave="181" documentId="8_{5C63A0F1-BB91-4B40-B244-10553D356165}" xr6:coauthVersionLast="47" xr6:coauthVersionMax="47" xr10:uidLastSave="{70848A89-5F09-42F1-AEE9-C11BADD464E8}"/>
  <bookViews>
    <workbookView xWindow="28680" yWindow="-120" windowWidth="21840" windowHeight="13020" activeTab="1" xr2:uid="{AD900800-D675-4823-B01C-893A780097A6}"/>
  </bookViews>
  <sheets>
    <sheet name="Raw data" sheetId="1" r:id="rId1"/>
    <sheet name="Qualatitive convert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3" i="2" l="1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C4" i="1"/>
  <c r="D6" i="1"/>
  <c r="D4" i="1"/>
  <c r="C6" i="1"/>
  <c r="C5" i="1"/>
  <c r="C8" i="1"/>
  <c r="C7" i="1"/>
  <c r="B7" i="1"/>
  <c r="B6" i="1"/>
  <c r="B5" i="1"/>
  <c r="B4" i="1"/>
  <c r="L7" i="1"/>
  <c r="L6" i="1"/>
  <c r="L5" i="1"/>
  <c r="D8" i="1"/>
  <c r="D7" i="1"/>
  <c r="D5" i="1"/>
  <c r="D115" i="1"/>
  <c r="D114" i="1"/>
  <c r="D89" i="1"/>
  <c r="D88" i="1"/>
  <c r="D87" i="1"/>
  <c r="D86" i="1"/>
  <c r="D76" i="1"/>
  <c r="D72" i="1"/>
  <c r="B72" i="1"/>
  <c r="C59" i="1"/>
  <c r="C58" i="1"/>
  <c r="C57" i="1"/>
  <c r="C52" i="1"/>
  <c r="C51" i="1"/>
  <c r="D49" i="1"/>
  <c r="B67" i="1"/>
  <c r="D67" i="1"/>
  <c r="C38" i="1"/>
  <c r="B38" i="1"/>
</calcChain>
</file>

<file path=xl/sharedStrings.xml><?xml version="1.0" encoding="utf-8"?>
<sst xmlns="http://schemas.openxmlformats.org/spreadsheetml/2006/main" count="518" uniqueCount="158">
  <si>
    <t>Species</t>
  </si>
  <si>
    <t>Acanthicus hystrix</t>
  </si>
  <si>
    <t>Ancistrus brevipinnis</t>
  </si>
  <si>
    <t>Ancistrus ranunulus</t>
  </si>
  <si>
    <t>Aphanotorulus emarginatus</t>
  </si>
  <si>
    <t>Astroblepus mindoensis</t>
  </si>
  <si>
    <t>Baryancistrus chrysolomus</t>
  </si>
  <si>
    <t>Baryancistrus demantoides</t>
  </si>
  <si>
    <t>Chaetostoma</t>
  </si>
  <si>
    <t>Cordylancistrus setosus</t>
  </si>
  <si>
    <t>Crossoloricaria variegata</t>
  </si>
  <si>
    <t>Cteniloricaria platystoma</t>
  </si>
  <si>
    <t>Dekeyseria scaphirhyncha</t>
  </si>
  <si>
    <t>Harttia loricariformis</t>
  </si>
  <si>
    <t>Hemiancistrus medians</t>
  </si>
  <si>
    <t>Hemiodontichthys acipenserinus</t>
  </si>
  <si>
    <t>Hisonotus notatus</t>
  </si>
  <si>
    <t>Hypancistrus debilittera</t>
  </si>
  <si>
    <t>Hypancistrus inspector</t>
  </si>
  <si>
    <t>Hypancistrus vandragti</t>
  </si>
  <si>
    <t>Hypoptopoma psilogaster</t>
  </si>
  <si>
    <t>Hypostomus cochliodon</t>
  </si>
  <si>
    <t>wood</t>
  </si>
  <si>
    <t>Hypostomus commersoni</t>
  </si>
  <si>
    <t>Hypostomus laplatae</t>
  </si>
  <si>
    <t>Hypostomus plecostomus</t>
  </si>
  <si>
    <t>Hypostomus regani</t>
  </si>
  <si>
    <t>Hypostomus watawa</t>
  </si>
  <si>
    <t>Isorineloricaria spinosissima</t>
  </si>
  <si>
    <t>Lamontichthys filamentosus</t>
  </si>
  <si>
    <t>Lasiancistrus mayoloi</t>
  </si>
  <si>
    <t>Leporacanthicus heterodon</t>
  </si>
  <si>
    <t>Limatulichthys griesus</t>
  </si>
  <si>
    <t>Lithogene villosus</t>
  </si>
  <si>
    <t>Lithoxus lithoides</t>
  </si>
  <si>
    <t>Loricaria cataphracta</t>
  </si>
  <si>
    <t>https://onlinelibrary.wiley.com/doi/full/10.1111/j.1439-0426.2004.00570.x</t>
  </si>
  <si>
    <t>Neoplecostomus granosus</t>
  </si>
  <si>
    <t>Niobichthys ferrarisi</t>
  </si>
  <si>
    <t>Otocinclus vittatus</t>
  </si>
  <si>
    <t>Oxyropsis carniata</t>
  </si>
  <si>
    <t>Panaqolus maccus</t>
  </si>
  <si>
    <t>Panaque armbrusteri</t>
  </si>
  <si>
    <t>Parancistrus aurantiacus</t>
  </si>
  <si>
    <t>Pareiorhaphis cameroni</t>
  </si>
  <si>
    <t>Parotocinclus jumbo</t>
  </si>
  <si>
    <t>Peckoltia braueri</t>
  </si>
  <si>
    <t>Peckoltia sabaji</t>
  </si>
  <si>
    <t>Planiloricaria cryptodon</t>
  </si>
  <si>
    <t>Pogonopoma werteimeri</t>
  </si>
  <si>
    <t>Proloricaria</t>
  </si>
  <si>
    <t>Pseudacanthicus pirarara</t>
  </si>
  <si>
    <t>Pseudancistrus barbatus</t>
  </si>
  <si>
    <t>Pseudohemiodon apithanos</t>
  </si>
  <si>
    <t>Pseudoloricaria laeviuscula</t>
  </si>
  <si>
    <t>Pseudorinelepis genibarbis</t>
  </si>
  <si>
    <t>Pterygoplichthys gibbiceps</t>
  </si>
  <si>
    <t>Rhinotocinclus eppleyi</t>
  </si>
  <si>
    <t>Rinelepis strigosa</t>
  </si>
  <si>
    <t>Rineloricaria lanceolata</t>
  </si>
  <si>
    <t>Scobiancistrus auratus</t>
  </si>
  <si>
    <t>Spatuloricaria evansii</t>
  </si>
  <si>
    <t>Spectracanthicus murinus</t>
  </si>
  <si>
    <t>Spectracanthicus zuanoni</t>
  </si>
  <si>
    <t>Sturisoma robustum</t>
  </si>
  <si>
    <t>Sturisomatichthys tamanae</t>
  </si>
  <si>
    <t>Detritus</t>
  </si>
  <si>
    <t>Algae</t>
  </si>
  <si>
    <t>Crustaceans</t>
  </si>
  <si>
    <t>Bryophyta</t>
  </si>
  <si>
    <t>plants</t>
  </si>
  <si>
    <t>bacteria</t>
  </si>
  <si>
    <t>substratum</t>
  </si>
  <si>
    <t>x</t>
  </si>
  <si>
    <t>fruits/seeds</t>
  </si>
  <si>
    <t>Sá-Oliveira, J. C., &amp; Isaac, V. J. (2013). DIET BREADTH AND NICHE OVERLAP BETWEEN Hypostomus plecostomus (LINNAEUS, 1758) AND Hypostomus emarginatus (VALENCIENNES, 1840)(SILURIFORMES) FROM THE COARACY NUNES HYDROELECTRIC RESERVOIR IN FERREIRA GOMES, AMAPÁ-BRAZIL.</t>
  </si>
  <si>
    <r>
      <t>Melo, C. E. D., Machado, F. D. A., &amp; Pinto-Silva, V. (2004). Feeding habits of fish from a stream in the savanna of Central Brazil, Araguaia Basin. </t>
    </r>
    <r>
      <rPr>
        <i/>
        <sz val="7"/>
        <color rgb="FF222222"/>
        <rFont val="Arial"/>
        <family val="2"/>
      </rPr>
      <t>Neotropical ichthyology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2</t>
    </r>
    <r>
      <rPr>
        <sz val="7"/>
        <color rgb="FF222222"/>
        <rFont val="Arial"/>
        <family val="2"/>
      </rPr>
      <t>, 37-44.</t>
    </r>
  </si>
  <si>
    <r>
      <t>Dary, E. P., Ferreira, E., Zuanon, J., &amp; Röpke, C. P. (2017). Diet and trophic structure of the fish assemblage in the mid-course of the Teles Pires River, Tapajós River basin, Brazil. </t>
    </r>
    <r>
      <rPr>
        <i/>
        <sz val="7"/>
        <color rgb="FF222222"/>
        <rFont val="Arial"/>
        <family val="2"/>
      </rPr>
      <t>Neotropical Ichthyology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15</t>
    </r>
    <r>
      <rPr>
        <sz val="7"/>
        <color rgb="FF222222"/>
        <rFont val="Arial"/>
        <family val="2"/>
      </rPr>
      <t>(4), e160173.</t>
    </r>
  </si>
  <si>
    <r>
      <t>Pouilly, M., Barrera, S., &amp; Rosales, C. (2006). Changes of taxonomic and trophic structure of fish assemblages along an environmental gradient in the Upper Beni watershed (Bolivia). </t>
    </r>
    <r>
      <rPr>
        <i/>
        <sz val="7"/>
        <color rgb="FF222222"/>
        <rFont val="Arial"/>
        <family val="2"/>
      </rPr>
      <t>Journal of Fish Biology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68</t>
    </r>
    <r>
      <rPr>
        <sz val="7"/>
        <color rgb="FF222222"/>
        <rFont val="Arial"/>
        <family val="2"/>
      </rPr>
      <t>(1), 137-156.</t>
    </r>
  </si>
  <si>
    <t>small amounts</t>
  </si>
  <si>
    <r>
      <t>Py-Daniel, L. R., Zuanon, J., &amp; Oliveira, R. R. D. (2011). Two new ornamental loricariid catfishes of Baryancistrus from rio Xingu drainage (Siluriformes: Hypostominae). </t>
    </r>
    <r>
      <rPr>
        <i/>
        <sz val="7"/>
        <color rgb="FF222222"/>
        <rFont val="Arial"/>
        <family val="2"/>
      </rPr>
      <t>Neotropical Ichthyology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9</t>
    </r>
    <r>
      <rPr>
        <sz val="7"/>
        <color rgb="FF222222"/>
        <rFont val="Arial"/>
        <family val="2"/>
      </rPr>
      <t>, 241-252.</t>
    </r>
  </si>
  <si>
    <r>
      <t>Ballen, G. A., Urbano-Bonilla, A., &amp; Maldonado-Ocampo, J. A. (2016). Description of a new species of the genus Chaetostoma from the Orinoco River drainage with comments on Chaetostoma milesi Fowler, 1941 (Siluriformes: Loricariidae). </t>
    </r>
    <r>
      <rPr>
        <i/>
        <sz val="7"/>
        <color rgb="FF222222"/>
        <rFont val="Arial"/>
        <family val="2"/>
      </rPr>
      <t>Zootaxa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4105</t>
    </r>
    <r>
      <rPr>
        <sz val="7"/>
        <color rgb="FF222222"/>
        <rFont val="Arial"/>
        <family val="2"/>
      </rPr>
      <t>(2), 181-197.</t>
    </r>
  </si>
  <si>
    <r>
      <t>García-Alzate, C. A., Román-Valencia, C., &amp; Barrero, A. M. (2012). Biología alimentaria y reproductiva de Farlowella vittata (Siluriformes: Loricariidae) en la cuenca del río Güejar, Orinoquía, Colombia. </t>
    </r>
    <r>
      <rPr>
        <i/>
        <sz val="7"/>
        <color rgb="FF222222"/>
        <rFont val="Arial"/>
        <family val="2"/>
      </rPr>
      <t>Revista de Biología Tropical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60</t>
    </r>
    <r>
      <rPr>
        <sz val="7"/>
        <color rgb="FF222222"/>
        <rFont val="Arial"/>
        <family val="2"/>
      </rPr>
      <t>(4), 1873-1888.</t>
    </r>
  </si>
  <si>
    <t>molluscs</t>
  </si>
  <si>
    <r>
      <t>Horeau, V., Cerdan, P., Champeau, A., &amp; Richard, S. (1998). Importance of aquatic invertebrates in the diet of rapids-dwelling fish in the Sinnamary River, French Guiana. </t>
    </r>
    <r>
      <rPr>
        <i/>
        <sz val="7"/>
        <color rgb="FF222222"/>
        <rFont val="Arial"/>
        <family val="2"/>
      </rPr>
      <t>Journal of Tropical Ecology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14</t>
    </r>
    <r>
      <rPr>
        <sz val="7"/>
        <color rgb="FF222222"/>
        <rFont val="Arial"/>
        <family val="2"/>
      </rPr>
      <t>(6), 851-864.</t>
    </r>
  </si>
  <si>
    <r>
      <t>Aranha, J. M. R., Takeuti, D. F., &amp; Yoshimura, T. M. (1998). Habitat use and food partitioning of the fishes in a coastal stream of Atlantic Forest, Brazil. </t>
    </r>
    <r>
      <rPr>
        <i/>
        <sz val="7"/>
        <color rgb="FF222222"/>
        <rFont val="Arial"/>
        <family val="2"/>
      </rPr>
      <t>Revista de Biología Tropical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46</t>
    </r>
    <r>
      <rPr>
        <sz val="7"/>
        <color rgb="FF222222"/>
        <rFont val="Arial"/>
        <family val="2"/>
      </rPr>
      <t>(4), 951-959.</t>
    </r>
  </si>
  <si>
    <t>minimal</t>
  </si>
  <si>
    <r>
      <t>Armbruster, J. W., Lujan, N. K., &amp; Taphorn, D. C. (2007). Four new Hypancistrus (Siluriformes: Loricariidae) from Amazonas, Venezuela. </t>
    </r>
    <r>
      <rPr>
        <i/>
        <sz val="7"/>
        <color rgb="FF222222"/>
        <rFont val="Arial"/>
        <family val="2"/>
      </rPr>
      <t>Copeia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2007</t>
    </r>
    <r>
      <rPr>
        <sz val="7"/>
        <color rgb="FF222222"/>
        <rFont val="Arial"/>
        <family val="2"/>
      </rPr>
      <t>(1), 62-79.</t>
    </r>
  </si>
  <si>
    <t>some</t>
  </si>
  <si>
    <r>
      <t>Armbruster, J. W. (2002). Hypancistrus inspector: a new species of suckermouth armored catfish (Loricariidae: Ancistrinae). </t>
    </r>
    <r>
      <rPr>
        <i/>
        <sz val="7"/>
        <color rgb="FF222222"/>
        <rFont val="Arial"/>
        <family val="2"/>
      </rPr>
      <t>Copeia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2002</t>
    </r>
    <r>
      <rPr>
        <sz val="7"/>
        <color rgb="FF222222"/>
        <rFont val="Arial"/>
        <family val="2"/>
      </rPr>
      <t>(1), 86-92.</t>
    </r>
  </si>
  <si>
    <r>
      <t>Lujan, N. K., German, D. P., &amp; Winemiller, K. O. (2011). Do wood‐grazing fishes partition their niche?: morphological and isotopic evidence for trophic segregation in Neotropical Loricariidae. </t>
    </r>
    <r>
      <rPr>
        <i/>
        <sz val="7"/>
        <color rgb="FF222222"/>
        <rFont val="Arial"/>
        <family val="2"/>
      </rPr>
      <t>Functional Ecology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25</t>
    </r>
    <r>
      <rPr>
        <sz val="7"/>
        <color rgb="FF222222"/>
        <rFont val="Arial"/>
        <family val="2"/>
      </rPr>
      <t>(6), 1327-1338.</t>
    </r>
  </si>
  <si>
    <t>Fish</t>
  </si>
  <si>
    <r>
      <t>Pouilly, M., Yunoki, T., Rosales, C., &amp; Torres, L. (2004). Trophic structure of fish assemblages from Mamoré River floodplain lakes (Bolivia). </t>
    </r>
    <r>
      <rPr>
        <i/>
        <sz val="7"/>
        <color rgb="FF222222"/>
        <rFont val="Arial"/>
        <family val="2"/>
      </rPr>
      <t>Ecology of Freshwater Fish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13</t>
    </r>
    <r>
      <rPr>
        <sz val="7"/>
        <color rgb="FF222222"/>
        <rFont val="Arial"/>
        <family val="2"/>
      </rPr>
      <t>(4), 245-257.</t>
    </r>
  </si>
  <si>
    <r>
      <t>Delariva, R. L., &amp; Agostinho, A. A. (2001). Relationship between morphology and diets of six neotropical loricariids. </t>
    </r>
    <r>
      <rPr>
        <i/>
        <sz val="7"/>
        <color rgb="FF222222"/>
        <rFont val="Arial"/>
        <family val="2"/>
      </rPr>
      <t>Journal of Fish biology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58</t>
    </r>
    <r>
      <rPr>
        <sz val="7"/>
        <color rgb="FF222222"/>
        <rFont val="Arial"/>
        <family val="2"/>
      </rPr>
      <t>(3), 832-847.</t>
    </r>
  </si>
  <si>
    <r>
      <t>Delariva, R. L., &amp; Agostinho, A. A. (2001). Relationship between morphology and diets of six neotropical loricariids. </t>
    </r>
    <r>
      <rPr>
        <i/>
        <sz val="7"/>
        <rFont val="Arial"/>
        <family val="2"/>
      </rPr>
      <t>Journal of Fish biology</t>
    </r>
    <r>
      <rPr>
        <sz val="7"/>
        <rFont val="Arial"/>
        <family val="2"/>
      </rPr>
      <t>, </t>
    </r>
    <r>
      <rPr>
        <i/>
        <sz val="7"/>
        <rFont val="Arial"/>
        <family val="2"/>
      </rPr>
      <t>58</t>
    </r>
    <r>
      <rPr>
        <sz val="7"/>
        <rFont val="Arial"/>
        <family val="2"/>
      </rPr>
      <t>(3), 832-847.</t>
    </r>
  </si>
  <si>
    <t>(distant) microstomus</t>
  </si>
  <si>
    <t xml:space="preserve">(distant) margartifer </t>
  </si>
  <si>
    <r>
      <t>Abilhoa, V., Valduga, M. O., Frehse, F. D. A., &amp; Vitule, J. R. (2016). Use of food resources and resource partitioning among five syntopic species of Hypostomus (Teleostei: Loricariidae) in an Atlantic Forest river in southern Brazil. </t>
    </r>
    <r>
      <rPr>
        <i/>
        <sz val="7"/>
        <color rgb="FF222222"/>
        <rFont val="Arial"/>
        <family val="2"/>
      </rPr>
      <t>Zoologia (Curitiba)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33</t>
    </r>
    <r>
      <rPr>
        <sz val="7"/>
        <color rgb="FF222222"/>
        <rFont val="Arial"/>
        <family val="2"/>
      </rPr>
      <t>(06), e20160062.</t>
    </r>
  </si>
  <si>
    <r>
      <t>de Mérona, B., Hugueny, B., Tejerina-Garro, F. L., &amp; Gautheret, E. (2008). Diet-morphology relationship in a fish assemblagefrom a medium-sized river of French Guiana: the effect of species taxonomic proximity. </t>
    </r>
    <r>
      <rPr>
        <i/>
        <sz val="7"/>
        <color rgb="FF222222"/>
        <rFont val="Arial"/>
        <family val="2"/>
      </rPr>
      <t>Aquatic Living Resources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21</t>
    </r>
    <r>
      <rPr>
        <sz val="7"/>
        <color rgb="FF222222"/>
        <rFont val="Arial"/>
        <family val="2"/>
      </rPr>
      <t>(2), 171-184.</t>
    </r>
  </si>
  <si>
    <r>
      <t>De Mérona, B., &amp; Vigouroux, R. (2006, March). Diet changes in fish species from a large reservoir in South Americaand their impact on the trophic structure of fish assemblages (Petit-Saut Dam, French Guiana). In </t>
    </r>
    <r>
      <rPr>
        <i/>
        <sz val="7"/>
        <color rgb="FF222222"/>
        <rFont val="Arial"/>
        <family val="2"/>
      </rPr>
      <t>Annales de Limnologie-International Journal of Limnology</t>
    </r>
    <r>
      <rPr>
        <sz val="7"/>
        <color rgb="FF222222"/>
        <rFont val="Arial"/>
        <family val="2"/>
      </rPr>
      <t> (Vol. 42, No. 1, pp. 53-61). EDP Sciences.</t>
    </r>
  </si>
  <si>
    <r>
      <t>Mazzoni, R., Rezende, C. F., &amp; Manna, L. R. (2010). Feeding ecology of Hypostomus punctatus Valenciennes, 1840 (Osteichthyes, Loricariidae) in a costal stream from Southeast Brazil. </t>
    </r>
    <r>
      <rPr>
        <i/>
        <sz val="7"/>
        <color rgb="FF222222"/>
        <rFont val="Arial"/>
        <family val="2"/>
      </rPr>
      <t>Brazilian Journal of Biology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70</t>
    </r>
    <r>
      <rPr>
        <sz val="7"/>
        <color rgb="FF222222"/>
        <rFont val="Arial"/>
        <family val="2"/>
      </rPr>
      <t>, 569-574.</t>
    </r>
  </si>
  <si>
    <r>
      <t>Valencia, C. R., &amp; Zamudio, H. (2007). Dieta y reproducción de Lasiancistrus caucanus (Pisces: Loricariidae) en la cuenca del río La Vieja, Alto Cauca, Colombia. </t>
    </r>
    <r>
      <rPr>
        <i/>
        <sz val="7"/>
        <color rgb="FF222222"/>
        <rFont val="Arial"/>
        <family val="2"/>
      </rPr>
      <t>Revista del Museo Argentino de Ciencias Naturales nueva serie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9</t>
    </r>
    <r>
      <rPr>
        <sz val="7"/>
        <color rgb="FF222222"/>
        <rFont val="Arial"/>
        <family val="2"/>
      </rPr>
      <t>(2), 95-101.</t>
    </r>
  </si>
  <si>
    <r>
      <t>Ramírez, F., Davenport, T. L., &amp; Mojica, J. I. (2015). Dietary–morphological relationships of nineteen fish species from an Amazonian terra firme blackwater stream in Colombia. </t>
    </r>
    <r>
      <rPr>
        <i/>
        <sz val="7"/>
        <color rgb="FF222222"/>
        <rFont val="Arial"/>
        <family val="2"/>
      </rPr>
      <t>Limnologica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52</t>
    </r>
    <r>
      <rPr>
        <sz val="7"/>
        <color rgb="FF222222"/>
        <rFont val="Arial"/>
        <family val="2"/>
      </rPr>
      <t>, 89-102.</t>
    </r>
  </si>
  <si>
    <t>Thomas, M. R., &amp; Py-Daniel, L. H. R. (2008). Three new species of the armored catfish genus Loricaria (Siluriformes: Loricariidae) from river channels of the Amazon basin. Neotropical Ichthyology, 6, 379-394.</t>
  </si>
  <si>
    <r>
      <t>Zardo, É. L., &amp; Behr, E. R. (2016). Trophic ecology of Loricariichthys melanocheilus Reis &amp; Pereira, 2000 (Siluriformes: Loricariidae) in Ibicuí river, southern Brazil. </t>
    </r>
    <r>
      <rPr>
        <i/>
        <sz val="7"/>
        <color rgb="FF222222"/>
        <rFont val="Arial"/>
        <family val="2"/>
      </rPr>
      <t>Acta Scientiarum. Biological Sciences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38</t>
    </r>
    <r>
      <rPr>
        <sz val="7"/>
        <color rgb="FF222222"/>
        <rFont val="Arial"/>
        <family val="2"/>
      </rPr>
      <t>(1), 67-76.</t>
    </r>
  </si>
  <si>
    <r>
      <t>Reis, A. D. S., Albrecht, M. P., &amp; Bunn, S. E. (2020). Food web pathways for fish communities in small tropical streams. </t>
    </r>
    <r>
      <rPr>
        <i/>
        <sz val="7"/>
        <color rgb="FF222222"/>
        <rFont val="Arial"/>
        <family val="2"/>
      </rPr>
      <t>Freshwater Biology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65</t>
    </r>
    <r>
      <rPr>
        <sz val="7"/>
        <color rgb="FF222222"/>
        <rFont val="Arial"/>
        <family val="2"/>
      </rPr>
      <t>(5), 893-907.</t>
    </r>
  </si>
  <si>
    <r>
      <t>Dias, T. S., &amp; Fialho, C. B. (2011). Comparative dietary analysis of Eurycheilichthys pantherinus and Pareiorhaphis hystrix: two Loricariidae species (Ostariophysi, Siluriformes) from Campos Sulinos biome, southern Brazil. </t>
    </r>
    <r>
      <rPr>
        <i/>
        <sz val="7"/>
        <color rgb="FF222222"/>
        <rFont val="Arial"/>
        <family val="2"/>
      </rPr>
      <t>Iheringia. Série Zoologia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101</t>
    </r>
    <r>
      <rPr>
        <sz val="7"/>
        <color rgb="FF222222"/>
        <rFont val="Arial"/>
        <family val="2"/>
      </rPr>
      <t>, 49-55.</t>
    </r>
  </si>
  <si>
    <r>
      <t>Braga, F. M. D. S., &amp; Andrade, P. D. M. (2005). Distribuição de peixes na microbacia do Ribeirão Grande, serra da Mantiqueira oriental, São Paulo, Brasil. </t>
    </r>
    <r>
      <rPr>
        <i/>
        <sz val="7"/>
        <color rgb="FF222222"/>
        <rFont val="Arial"/>
        <family val="2"/>
      </rPr>
      <t>Iheringia. Série Zoologia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95</t>
    </r>
    <r>
      <rPr>
        <sz val="7"/>
        <color rgb="FF222222"/>
        <rFont val="Arial"/>
        <family val="2"/>
      </rPr>
      <t>, 121-126.</t>
    </r>
  </si>
  <si>
    <t>Mostly</t>
  </si>
  <si>
    <r>
      <t>Py-Daniel, L. R., &amp; Zuanon, J. (2005). Description of a new species of Parancistrus (Siluriformes: Loricariidae) from the rio Xingu, Brazil. </t>
    </r>
    <r>
      <rPr>
        <i/>
        <sz val="7"/>
        <color rgb="FF222222"/>
        <rFont val="Arial"/>
        <family val="2"/>
      </rPr>
      <t>Neotropical Ichthyology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3</t>
    </r>
    <r>
      <rPr>
        <sz val="7"/>
        <color rgb="FF222222"/>
        <rFont val="Arial"/>
        <family val="2"/>
      </rPr>
      <t>(4), 571-577.</t>
    </r>
  </si>
  <si>
    <r>
      <t>Pereira, E. H., &amp; Britto, M. R. (2012). A new distinctively colored catfish of the genus Pareiorhaphis (Siluriformes: Loricariidae) from the rio Piracicaba, upper rio Doce basin, Brazil. </t>
    </r>
    <r>
      <rPr>
        <i/>
        <sz val="7"/>
        <color rgb="FF222222"/>
        <rFont val="Arial"/>
        <family val="2"/>
      </rPr>
      <t>Copeia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2012</t>
    </r>
    <r>
      <rPr>
        <sz val="7"/>
        <color rgb="FF222222"/>
        <rFont val="Arial"/>
        <family val="2"/>
      </rPr>
      <t>(3), 519-526.</t>
    </r>
  </si>
  <si>
    <r>
      <t>Sa-Oliveira, J. C., Angelini, R., &amp; Isaac-Nahum, V. J. (2013). Diet and niche breadth and overlap in fish communities within the area affected by an Amazonian reservoir (Amapá, Brazil). </t>
    </r>
    <r>
      <rPr>
        <i/>
        <sz val="7"/>
        <color rgb="FF222222"/>
        <rFont val="Arial"/>
        <family val="2"/>
      </rPr>
      <t>Anais da Academia Brasileira de Ciências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86</t>
    </r>
    <r>
      <rPr>
        <sz val="7"/>
        <color rgb="FF222222"/>
        <rFont val="Arial"/>
        <family val="2"/>
      </rPr>
      <t>(1), 383-406.</t>
    </r>
  </si>
  <si>
    <t>Sponge</t>
  </si>
  <si>
    <t>Zuanon, J. A. S. (1999). História natural da ictiofauna de corredeiras do rio Xingu, na região de Altamira, Pará.</t>
  </si>
  <si>
    <r>
      <t>Pouilly, M., Lino, F., Bretenoux, J. G., &amp; Rosales, C. (2003). Dietary–morphological relationships in a fish assemblage of the Bolivian Amazonian floodplain. </t>
    </r>
    <r>
      <rPr>
        <i/>
        <sz val="7"/>
        <color rgb="FF222222"/>
        <rFont val="Arial"/>
        <family val="2"/>
      </rPr>
      <t>Journal of fish Biology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62</t>
    </r>
    <r>
      <rPr>
        <sz val="7"/>
        <color rgb="FF222222"/>
        <rFont val="Arial"/>
        <family val="2"/>
      </rPr>
      <t>(5), 1137-1158.</t>
    </r>
  </si>
  <si>
    <r>
      <t>Hawlitschek, O., Yamamoto, K. C., &amp; Neto, F. G. M. C. (2013). Diet composition of fish assemblage of Lake Tupe, Amazonas, Brazil. </t>
    </r>
    <r>
      <rPr>
        <i/>
        <sz val="7"/>
        <color rgb="FF222222"/>
        <rFont val="Arial"/>
        <family val="2"/>
      </rPr>
      <t>Revista Colombiana de Ciencia Animal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5</t>
    </r>
    <r>
      <rPr>
        <sz val="7"/>
        <color rgb="FF222222"/>
        <rFont val="Arial"/>
        <family val="2"/>
      </rPr>
      <t>(2), 313-326.</t>
    </r>
  </si>
  <si>
    <t>~5</t>
  </si>
  <si>
    <r>
      <t xml:space="preserve">Samat, A. (2016). Dietary analysis of an introduced fish, </t>
    </r>
    <r>
      <rPr>
        <i/>
        <sz val="7"/>
        <color rgb="FF222222"/>
        <rFont val="Arial"/>
        <family val="2"/>
      </rPr>
      <t xml:space="preserve">Pterygoplichthys pardalis </t>
    </r>
    <r>
      <rPr>
        <sz val="7"/>
        <color rgb="FF222222"/>
        <rFont val="Arial"/>
        <family val="2"/>
      </rPr>
      <t xml:space="preserve">(Castelnau 1855) (Pisces:Loricariidae) from Sungai langat, Selangor, Penincular Malaysia. </t>
    </r>
    <r>
      <rPr>
        <i/>
        <sz val="7"/>
        <color rgb="FF222222"/>
        <rFont val="Arial"/>
        <family val="2"/>
      </rPr>
      <t>Malaysian Nature Journal</t>
    </r>
    <r>
      <rPr>
        <sz val="7"/>
        <color rgb="FF222222"/>
        <rFont val="Arial"/>
        <family val="2"/>
      </rPr>
      <t>, 68(1&amp;2), 241-246.</t>
    </r>
  </si>
  <si>
    <r>
      <t>Silva, J. C. D., Delariva, R. L., &amp; Bonato, K. O. (2012). Food-resource partitioning among fish species from a first-order stream in northwestern Paraná, Brazil. </t>
    </r>
    <r>
      <rPr>
        <i/>
        <sz val="7"/>
        <color rgb="FF222222"/>
        <rFont val="Arial"/>
        <family val="2"/>
      </rPr>
      <t>Neotropical Ichthyology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10</t>
    </r>
    <r>
      <rPr>
        <sz val="7"/>
        <color rgb="FF222222"/>
        <rFont val="Arial"/>
        <family val="2"/>
      </rPr>
      <t>, 389-399.</t>
    </r>
  </si>
  <si>
    <r>
      <t>Saul, W. G. (1975). An ecological study of fishes at a site in upper Amazonian Ecuador. </t>
    </r>
    <r>
      <rPr>
        <i/>
        <sz val="7"/>
        <color rgb="FF222222"/>
        <rFont val="Arial"/>
        <family val="2"/>
      </rPr>
      <t>Proceedings of the Academy of Natural Sciences of Philadelphia</t>
    </r>
    <r>
      <rPr>
        <sz val="7"/>
        <color rgb="FF222222"/>
        <rFont val="Arial"/>
        <family val="2"/>
      </rPr>
      <t>, 93-134.</t>
    </r>
  </si>
  <si>
    <r>
      <t>Vanni, M. J., Flecker, A. S., Hood, J. M., &amp; Headworth, J. L. (2002). Stoichiometry of nutrient recycling by vertebrates in a tropical stream: linking species identity and ecosystem processes. </t>
    </r>
    <r>
      <rPr>
        <i/>
        <sz val="7"/>
        <color rgb="FF222222"/>
        <rFont val="Arial"/>
        <family val="2"/>
      </rPr>
      <t>Ecology Letters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5</t>
    </r>
    <r>
      <rPr>
        <sz val="7"/>
        <color rgb="FF222222"/>
        <rFont val="Arial"/>
        <family val="2"/>
      </rPr>
      <t>(2), 285-293.</t>
    </r>
  </si>
  <si>
    <r>
      <t>Werneke, D. C., Sabaj, M. H., Lujan, N. K., &amp; Armbruster, J. W. (2005). Baryancistrus demantoides and Hemiancistrus subviridis, two new uniquely colored species of catfishes from Venezuela (Siluriformes: Loricariidae). </t>
    </r>
    <r>
      <rPr>
        <i/>
        <sz val="7"/>
        <color rgb="FF222222"/>
        <rFont val="Arial"/>
        <family val="2"/>
      </rPr>
      <t>Neotropical Ichthyology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3</t>
    </r>
    <r>
      <rPr>
        <sz val="7"/>
        <color rgb="FF222222"/>
        <rFont val="Arial"/>
        <family val="2"/>
      </rPr>
      <t>, 533-542.</t>
    </r>
  </si>
  <si>
    <r>
      <t>Lujan, N. K., &amp; Armbruster, J. W. (2011). Two new genera and species of Ancistrini (Siluriformes: Loricariidae) from the western Guiana Shield. </t>
    </r>
    <r>
      <rPr>
        <i/>
        <sz val="7"/>
        <color rgb="FF222222"/>
        <rFont val="Arial"/>
        <family val="2"/>
      </rPr>
      <t>Copeia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2011</t>
    </r>
    <r>
      <rPr>
        <sz val="7"/>
        <color rgb="FF222222"/>
        <rFont val="Arial"/>
        <family val="2"/>
      </rPr>
      <t>(2), 216-225.</t>
    </r>
  </si>
  <si>
    <r>
      <t>Salvador‐Jr, L. F., Salvador, G. N., &amp; Santos, G. B. (2009). Morphology of the digestive tract and feeding habits of Loricaria lentiginosa Isbrücker, 1979 in a Brazilian reservoir. </t>
    </r>
    <r>
      <rPr>
        <i/>
        <sz val="7"/>
        <color rgb="FF222222"/>
        <rFont val="Arial"/>
        <family val="2"/>
      </rPr>
      <t>Acta Zoologica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90</t>
    </r>
    <r>
      <rPr>
        <sz val="7"/>
        <color rgb="FF222222"/>
        <rFont val="Arial"/>
        <family val="2"/>
      </rPr>
      <t>(2), 101-109.</t>
    </r>
  </si>
  <si>
    <t>Langoni, A. D. S. (2015). Biologia comparada alimentar de três lolicarídeos (Ostariophysi, Siluriformes) em diferentes riachos da Bacia do Alto Jacuí, Rio Grande do Sul, Brasil.</t>
  </si>
  <si>
    <r>
      <t>Lujan, N. K., &amp; Armbruster, J. W. (2011). Two new genera and species of Ancistrini (Siluriformes: Loricariidae) from the western Guiana Shield. </t>
    </r>
    <r>
      <rPr>
        <i/>
        <sz val="7"/>
        <rFont val="Arial"/>
        <family val="2"/>
      </rPr>
      <t>Copeia</t>
    </r>
    <r>
      <rPr>
        <sz val="7"/>
        <rFont val="Arial"/>
        <family val="2"/>
      </rPr>
      <t>, </t>
    </r>
    <r>
      <rPr>
        <i/>
        <sz val="7"/>
        <rFont val="Arial"/>
        <family val="2"/>
      </rPr>
      <t>2011</t>
    </r>
    <r>
      <rPr>
        <sz val="7"/>
        <rFont val="Arial"/>
        <family val="2"/>
      </rPr>
      <t>(2), 216-225.</t>
    </r>
  </si>
  <si>
    <r>
      <t>Silva, R. R., &amp; Rapp Py–Daniel, L. H. (2018). Redescription of Dekeyseria picta (Siluriformes; Loricariidae), a poorly known ancistrin from the Amazon and Orinoco Basins. </t>
    </r>
    <r>
      <rPr>
        <i/>
        <sz val="7"/>
        <color rgb="FF222222"/>
        <rFont val="Arial"/>
        <family val="2"/>
      </rPr>
      <t>Journal of Fish Biology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92</t>
    </r>
    <r>
      <rPr>
        <sz val="7"/>
        <color rgb="FF222222"/>
        <rFont val="Arial"/>
        <family val="2"/>
      </rPr>
      <t>(5), 1446-1462.</t>
    </r>
  </si>
  <si>
    <r>
      <t>Chamon, C. C., &amp; Sousa, L. M. (2017). A new species of the leopard pleco genus Pseudacanthicus (Siluriformes: Loricariidae) from the Rio Xingu, Brazil. </t>
    </r>
    <r>
      <rPr>
        <i/>
        <sz val="7"/>
        <color rgb="FF222222"/>
        <rFont val="Arial"/>
        <family val="2"/>
      </rPr>
      <t>Journal of Fish Biology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90</t>
    </r>
    <r>
      <rPr>
        <sz val="7"/>
        <color rgb="FF222222"/>
        <rFont val="Arial"/>
        <family val="2"/>
      </rPr>
      <t>(1), 356-369.</t>
    </r>
  </si>
  <si>
    <r>
      <t>Pelegrini, L. S., Januário, F. F., de Azevedo, R. K., &amp; Abdallah, V. D. (2018). Biodiversity and ecology of the parasitic infracommunities of Loricaria prolixa (Siluriformes: Loricariidae) from the Tietê-Batalha Basin, SP, Brazil. </t>
    </r>
    <r>
      <rPr>
        <i/>
        <sz val="7"/>
        <color rgb="FF222222"/>
        <rFont val="Arial"/>
        <family val="2"/>
      </rPr>
      <t>Acta Scientiarum. Biological Sciences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40</t>
    </r>
    <r>
      <rPr>
        <sz val="7"/>
        <color rgb="FF222222"/>
        <rFont val="Arial"/>
        <family val="2"/>
      </rPr>
      <t>, 1-8.</t>
    </r>
  </si>
  <si>
    <t>Farlowella vittata</t>
  </si>
  <si>
    <r>
      <t xml:space="preserve">Farlowella </t>
    </r>
    <r>
      <rPr>
        <sz val="11"/>
        <color theme="1"/>
        <rFont val="Aptos Narrow"/>
        <family val="2"/>
        <scheme val="minor"/>
      </rPr>
      <t>sp.</t>
    </r>
  </si>
  <si>
    <t>Hypoptopoma gulare</t>
  </si>
  <si>
    <t>total</t>
  </si>
  <si>
    <t>Hypostomus ternetzi</t>
  </si>
  <si>
    <t>Hypostomus gymnorhynchus</t>
  </si>
  <si>
    <t>Hypostomus punctatus</t>
  </si>
  <si>
    <t>Lasiancistrus caucanus</t>
  </si>
  <si>
    <t>Lithoxus niger</t>
  </si>
  <si>
    <t>Loricaria spinulifera</t>
  </si>
  <si>
    <t>Loricaria pumila</t>
  </si>
  <si>
    <t>Loricaria lundbergi</t>
  </si>
  <si>
    <t>Loricariichthys melanocheilus</t>
  </si>
  <si>
    <t>Loricariichthys maculatus</t>
  </si>
  <si>
    <t>Loricariichthys acutus</t>
  </si>
  <si>
    <t>Loricariichthys lentiginosa</t>
  </si>
  <si>
    <t>Neoplecostomus microps</t>
  </si>
  <si>
    <r>
      <t xml:space="preserve">Otothyris </t>
    </r>
    <r>
      <rPr>
        <sz val="11"/>
        <color rgb="FFFF0000"/>
        <rFont val="Aptos Narrow"/>
        <family val="2"/>
        <scheme val="minor"/>
      </rPr>
      <t>sp.</t>
    </r>
  </si>
  <si>
    <t>Pseudohemiodon laticeps</t>
  </si>
  <si>
    <r>
      <t xml:space="preserve">Peckoltia </t>
    </r>
    <r>
      <rPr>
        <sz val="11"/>
        <color theme="1"/>
        <rFont val="Aptos Narrow"/>
        <family val="2"/>
        <scheme val="minor"/>
      </rPr>
      <t>spp.</t>
    </r>
  </si>
  <si>
    <r>
      <t>Pterygoplichthys</t>
    </r>
    <r>
      <rPr>
        <sz val="11"/>
        <color theme="1"/>
        <rFont val="Aptos Narrow"/>
        <family val="2"/>
        <scheme val="minor"/>
      </rPr>
      <t xml:space="preserve"> sp.</t>
    </r>
  </si>
  <si>
    <t>Pterygoplichthys pardalis</t>
  </si>
  <si>
    <r>
      <t xml:space="preserve">Spatuloricaria </t>
    </r>
    <r>
      <rPr>
        <sz val="11"/>
        <color theme="1"/>
        <rFont val="Aptos Narrow"/>
        <family val="2"/>
        <scheme val="minor"/>
      </rPr>
      <t>sp.</t>
    </r>
  </si>
  <si>
    <t>Sturisoma nigrostrum</t>
  </si>
  <si>
    <r>
      <t>Rineloricaria</t>
    </r>
    <r>
      <rPr>
        <sz val="11"/>
        <color theme="1"/>
        <rFont val="Aptos Narrow"/>
        <family val="2"/>
        <scheme val="minor"/>
      </rPr>
      <t xml:space="preserve"> aff. </t>
    </r>
    <r>
      <rPr>
        <i/>
        <sz val="11"/>
        <color theme="1"/>
        <rFont val="Aptos Narrow"/>
        <family val="2"/>
        <scheme val="minor"/>
      </rPr>
      <t>pentamaculata</t>
    </r>
  </si>
  <si>
    <t xml:space="preserve">Bentley, R. F., Collins, R. A., Genner, J. M. (2026) Evolutionary innovation of functional fused molariform pharyngeal jaws in suckermouth catfishes. </t>
  </si>
  <si>
    <t>References</t>
  </si>
  <si>
    <t>Dietary item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</si>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</sst>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B0F0"/>
      <name val="Aptos Narrow"/>
      <family val="2"/>
      <scheme val="minor"/>
    </font>
    <font>
      <sz val="11"/>
      <color rgb="FF00B0F0"/>
      <name val="Aptos Narrow"/>
      <family val="2"/>
      <scheme val="minor"/>
    </font>
    <font>
      <i/>
      <sz val="11"/>
      <name val="Aptos Narrow"/>
      <family val="2"/>
      <scheme val="minor"/>
    </font>
    <font>
      <sz val="8"/>
      <color rgb="FF0D0D0D"/>
      <name val="Roboto"/>
    </font>
    <font>
      <sz val="11"/>
      <name val="Aptos Narrow"/>
      <family val="2"/>
      <scheme val="minor"/>
    </font>
    <font>
      <u/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sz val="7"/>
      <color rgb="FF222222"/>
      <name val="Arial"/>
      <family val="2"/>
    </font>
    <font>
      <i/>
      <sz val="7"/>
      <color rgb="FF222222"/>
      <name val="Arial"/>
      <family val="2"/>
    </font>
    <font>
      <sz val="11"/>
      <color rgb="FFFFC000"/>
      <name val="Aptos Narrow"/>
      <family val="2"/>
      <scheme val="minor"/>
    </font>
    <font>
      <sz val="7"/>
      <name val="Arial"/>
      <family val="2"/>
    </font>
    <font>
      <i/>
      <sz val="7"/>
      <name val="Arial"/>
      <family val="2"/>
    </font>
    <font>
      <sz val="8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sz val="7"/>
      <color rgb="FF0070C0"/>
      <name val="Arial"/>
      <family val="2"/>
    </font>
    <font>
      <b/>
      <sz val="7"/>
      <color rgb="FFFF0000"/>
      <name val="Roboto"/>
    </font>
    <font>
      <u/>
      <sz val="11"/>
      <color rgb="FFFFC000"/>
      <name val="Aptos Narrow"/>
      <family val="2"/>
      <scheme val="minor"/>
    </font>
    <font>
      <sz val="8"/>
      <color rgb="FFFF0000"/>
      <name val="Roboto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1"/>
    <xf numFmtId="0" fontId="0" fillId="0" borderId="0" xfId="0" quotePrefix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1" applyFont="1"/>
    <xf numFmtId="0" fontId="7" fillId="0" borderId="0" xfId="0" quotePrefix="1" applyFont="1"/>
    <xf numFmtId="0" fontId="9" fillId="0" borderId="0" xfId="0" applyFont="1"/>
    <xf numFmtId="0" fontId="10" fillId="0" borderId="0" xfId="0" applyFont="1"/>
    <xf numFmtId="0" fontId="4" fillId="0" borderId="0" xfId="0" quotePrefix="1" applyFont="1"/>
    <xf numFmtId="0" fontId="11" fillId="0" borderId="0" xfId="0" applyFont="1"/>
    <xf numFmtId="0" fontId="12" fillId="0" borderId="0" xfId="1" applyFont="1"/>
    <xf numFmtId="0" fontId="13" fillId="0" borderId="0" xfId="0" applyFont="1"/>
    <xf numFmtId="0" fontId="15" fillId="0" borderId="0" xfId="0" applyFont="1"/>
    <xf numFmtId="0" fontId="16" fillId="0" borderId="0" xfId="0" applyFont="1"/>
    <xf numFmtId="0" fontId="19" fillId="0" borderId="0" xfId="0" applyFont="1"/>
    <xf numFmtId="0" fontId="11" fillId="0" borderId="0" xfId="0" quotePrefix="1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1" applyFont="1"/>
    <xf numFmtId="0" fontId="24" fillId="0" borderId="0" xfId="0" applyFont="1"/>
    <xf numFmtId="0" fontId="25" fillId="0" borderId="0" xfId="0" applyFont="1"/>
    <xf numFmtId="0" fontId="2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nlinelibrary.wiley.com/doi/full/10.1111/j.1439-0426.2004.00570.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325B9-64ED-41D0-84A6-9E5F0BBE6CCD}">
  <dimension ref="A1:AH124"/>
  <sheetViews>
    <sheetView zoomScale="70" zoomScaleNormal="70" workbookViewId="0">
      <pane ySplit="1" topLeftCell="A65" activePane="bottomLeft" state="frozen"/>
      <selection pane="bottomLeft" activeCell="A90" sqref="A90:XFD90"/>
    </sheetView>
  </sheetViews>
  <sheetFormatPr defaultColWidth="8.81640625" defaultRowHeight="14.5"/>
  <cols>
    <col min="1" max="1" width="32.453125" bestFit="1" customWidth="1"/>
    <col min="2" max="2" width="8.6328125" bestFit="1" customWidth="1"/>
    <col min="3" max="3" width="8.1796875" bestFit="1" customWidth="1"/>
    <col min="4" max="4" width="14.36328125" bestFit="1" customWidth="1"/>
    <col min="5" max="5" width="10.453125" bestFit="1" customWidth="1"/>
    <col min="6" max="6" width="6.36328125" bestFit="1" customWidth="1"/>
    <col min="7" max="7" width="7.1796875" bestFit="1" customWidth="1"/>
    <col min="8" max="8" width="10.81640625" bestFit="1" customWidth="1"/>
    <col min="9" max="9" width="16.81640625" bestFit="1" customWidth="1"/>
    <col min="10" max="10" width="10.6328125" bestFit="1" customWidth="1"/>
    <col min="11" max="11" width="5.453125" bestFit="1" customWidth="1"/>
    <col min="12" max="13" width="5.453125" customWidth="1"/>
  </cols>
  <sheetData>
    <row r="1" spans="1:20">
      <c r="A1" t="s">
        <v>0</v>
      </c>
      <c r="B1" t="s">
        <v>156</v>
      </c>
    </row>
    <row r="2" spans="1:20" s="14" customFormat="1">
      <c r="A2"/>
      <c r="B2" t="s">
        <v>66</v>
      </c>
      <c r="C2" t="s">
        <v>67</v>
      </c>
      <c r="D2" t="s">
        <v>68</v>
      </c>
      <c r="E2" t="s">
        <v>69</v>
      </c>
      <c r="F2" t="s">
        <v>70</v>
      </c>
      <c r="G2" t="s">
        <v>112</v>
      </c>
      <c r="H2" t="s">
        <v>74</v>
      </c>
      <c r="I2" t="s">
        <v>83</v>
      </c>
      <c r="J2" t="s">
        <v>72</v>
      </c>
      <c r="K2" t="s">
        <v>22</v>
      </c>
      <c r="L2" t="s">
        <v>91</v>
      </c>
      <c r="M2" t="s">
        <v>155</v>
      </c>
      <c r="N2"/>
      <c r="P2" s="15"/>
    </row>
    <row r="3" spans="1:20">
      <c r="A3" s="19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4"/>
    </row>
    <row r="4" spans="1:20">
      <c r="A4" s="1" t="s">
        <v>2</v>
      </c>
      <c r="B4" s="1">
        <f>55.6+1.6</f>
        <v>57.2</v>
      </c>
      <c r="C4" s="1">
        <f>2.3+15.9+0.9+0.1+0.3</f>
        <v>19.5</v>
      </c>
      <c r="D4" s="1">
        <f>4.9+1.9+0.1+0.2+0.3</f>
        <v>7.4</v>
      </c>
      <c r="E4" s="1"/>
      <c r="F4" s="1">
        <v>6.5</v>
      </c>
      <c r="G4" s="1"/>
      <c r="H4" s="1"/>
      <c r="I4" s="1"/>
      <c r="J4" s="1">
        <v>9.1</v>
      </c>
      <c r="K4" s="1"/>
      <c r="L4" s="1"/>
      <c r="M4" s="16" t="s">
        <v>124</v>
      </c>
    </row>
    <row r="5" spans="1:20">
      <c r="A5" s="1" t="s">
        <v>2</v>
      </c>
      <c r="B5" s="1">
        <f>52.7+0.5</f>
        <v>53.2</v>
      </c>
      <c r="C5" s="1">
        <f>0.9+0.1</f>
        <v>1</v>
      </c>
      <c r="D5" s="1">
        <f>0.9+0.2+0.3</f>
        <v>1.4000000000000001</v>
      </c>
      <c r="E5" s="1"/>
      <c r="F5" s="1">
        <v>26.11</v>
      </c>
      <c r="G5" s="1"/>
      <c r="H5" s="1"/>
      <c r="I5" s="1"/>
      <c r="J5" s="1">
        <v>17.5</v>
      </c>
      <c r="K5" s="1"/>
      <c r="L5" s="1">
        <f>0.7</f>
        <v>0.7</v>
      </c>
      <c r="M5" s="16" t="s">
        <v>124</v>
      </c>
    </row>
    <row r="6" spans="1:20">
      <c r="A6" s="1" t="s">
        <v>2</v>
      </c>
      <c r="B6" s="1">
        <f>50.1+2</f>
        <v>52.1</v>
      </c>
      <c r="C6" s="1">
        <f>3.8+0.1</f>
        <v>3.9</v>
      </c>
      <c r="D6" s="1">
        <f>0.1+0.1+1.9+3.2+0.1+0.1</f>
        <v>5.5</v>
      </c>
      <c r="E6" s="1"/>
      <c r="F6" s="1">
        <v>9</v>
      </c>
      <c r="G6" s="1"/>
      <c r="H6" s="1"/>
      <c r="I6" s="1">
        <v>9.1999999999999993</v>
      </c>
      <c r="J6" s="1">
        <v>19.600000000000001</v>
      </c>
      <c r="K6" s="1"/>
      <c r="L6" s="1">
        <f>0.4</f>
        <v>0.4</v>
      </c>
      <c r="M6" s="16" t="s">
        <v>124</v>
      </c>
    </row>
    <row r="7" spans="1:20">
      <c r="A7" s="1" t="s">
        <v>2</v>
      </c>
      <c r="B7" s="1">
        <f>51.2</f>
        <v>51.2</v>
      </c>
      <c r="C7" s="1">
        <f>7.9</f>
        <v>7.9</v>
      </c>
      <c r="D7" s="1">
        <f>8.8+0.5+2.6+2.7+0.2+0.1</f>
        <v>14.9</v>
      </c>
      <c r="E7" s="1"/>
      <c r="F7" s="1">
        <v>5.8</v>
      </c>
      <c r="G7" s="1"/>
      <c r="H7" s="1"/>
      <c r="I7" s="1"/>
      <c r="J7" s="1">
        <v>19.8</v>
      </c>
      <c r="K7" s="1"/>
      <c r="L7" s="1">
        <f>0.2</f>
        <v>0.2</v>
      </c>
      <c r="M7" s="16" t="s">
        <v>124</v>
      </c>
    </row>
    <row r="8" spans="1:20">
      <c r="A8" s="1" t="s">
        <v>2</v>
      </c>
      <c r="B8" s="1">
        <v>54.9</v>
      </c>
      <c r="C8" s="1">
        <f>1.7</f>
        <v>1.7</v>
      </c>
      <c r="D8" s="1">
        <f>0.2+0.2</f>
        <v>0.4</v>
      </c>
      <c r="E8" s="1"/>
      <c r="F8" s="1">
        <v>7.2</v>
      </c>
      <c r="G8" s="1"/>
      <c r="H8" s="1"/>
      <c r="I8" s="1"/>
      <c r="J8" s="1">
        <v>35.6</v>
      </c>
      <c r="K8" s="1"/>
      <c r="L8" s="1"/>
      <c r="M8" s="16" t="s">
        <v>124</v>
      </c>
    </row>
    <row r="9" spans="1:20">
      <c r="A9" s="1" t="s">
        <v>3</v>
      </c>
      <c r="B9" s="1"/>
      <c r="C9" s="1" t="s">
        <v>73</v>
      </c>
      <c r="D9" s="1"/>
      <c r="E9" s="1"/>
      <c r="F9" s="1"/>
      <c r="G9" s="1"/>
      <c r="H9" s="1"/>
      <c r="I9" s="1"/>
      <c r="J9" s="1"/>
      <c r="K9" s="1"/>
      <c r="L9" s="1"/>
      <c r="M9" s="16" t="s">
        <v>113</v>
      </c>
      <c r="Q9" s="4"/>
      <c r="S9" s="4"/>
      <c r="T9" s="4"/>
    </row>
    <row r="10" spans="1:20">
      <c r="A10" s="1" t="s">
        <v>4</v>
      </c>
      <c r="B10" s="1">
        <v>100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6" t="s">
        <v>76</v>
      </c>
      <c r="Q10" s="4"/>
      <c r="S10" s="4"/>
    </row>
    <row r="11" spans="1:20">
      <c r="A11" s="1" t="s">
        <v>4</v>
      </c>
      <c r="B11" s="1">
        <v>98</v>
      </c>
      <c r="C11" s="1"/>
      <c r="D11" s="1"/>
      <c r="E11" s="1"/>
      <c r="F11" s="1">
        <v>1</v>
      </c>
      <c r="G11" s="1"/>
      <c r="H11" s="1"/>
      <c r="I11" s="1"/>
      <c r="J11" s="1"/>
      <c r="K11" s="1"/>
      <c r="L11" s="1"/>
      <c r="M11" s="16" t="s">
        <v>75</v>
      </c>
      <c r="Q11" s="4"/>
      <c r="S11" s="4"/>
    </row>
    <row r="12" spans="1:20">
      <c r="A12" s="1" t="s">
        <v>4</v>
      </c>
      <c r="B12" s="1">
        <v>97</v>
      </c>
      <c r="C12" s="1"/>
      <c r="D12" s="1"/>
      <c r="E12" s="1"/>
      <c r="F12" s="1">
        <v>1.5</v>
      </c>
      <c r="G12" s="1"/>
      <c r="H12" s="1"/>
      <c r="I12" s="1"/>
      <c r="J12" s="1"/>
      <c r="K12" s="1"/>
      <c r="L12" s="1"/>
      <c r="M12" s="16" t="s">
        <v>75</v>
      </c>
      <c r="O12" s="4"/>
    </row>
    <row r="13" spans="1:20">
      <c r="A13" s="1" t="s">
        <v>5</v>
      </c>
      <c r="B13" s="1"/>
      <c r="C13" s="1">
        <v>20</v>
      </c>
      <c r="D13" s="1">
        <v>102</v>
      </c>
      <c r="E13" s="1"/>
      <c r="F13" s="1">
        <v>1</v>
      </c>
      <c r="G13" s="1"/>
      <c r="H13" s="1"/>
      <c r="I13" s="1"/>
      <c r="J13" s="1"/>
      <c r="K13" s="1"/>
      <c r="L13" s="1"/>
      <c r="M13" s="16" t="s">
        <v>78</v>
      </c>
    </row>
    <row r="14" spans="1:20">
      <c r="A14" s="1" t="s">
        <v>6</v>
      </c>
      <c r="B14" s="1"/>
      <c r="C14" s="1" t="s">
        <v>73</v>
      </c>
      <c r="D14" s="1" t="s">
        <v>79</v>
      </c>
      <c r="E14" s="1"/>
      <c r="F14" s="1"/>
      <c r="G14" s="1"/>
      <c r="H14" s="1"/>
      <c r="I14" s="1"/>
      <c r="J14" s="1"/>
      <c r="K14" s="1"/>
      <c r="L14" s="1"/>
      <c r="M14" s="16" t="s">
        <v>80</v>
      </c>
      <c r="O14" s="4"/>
    </row>
    <row r="15" spans="1:20">
      <c r="A15" s="1" t="s">
        <v>7</v>
      </c>
      <c r="B15" s="1"/>
      <c r="C15" s="1" t="s">
        <v>73</v>
      </c>
      <c r="D15" s="1"/>
      <c r="E15" s="1"/>
      <c r="F15" s="1"/>
      <c r="G15" s="1"/>
      <c r="H15" s="1"/>
      <c r="I15" s="1"/>
      <c r="J15" s="1"/>
      <c r="K15" s="1"/>
      <c r="L15" s="1"/>
      <c r="M15" s="16" t="s">
        <v>121</v>
      </c>
      <c r="O15" s="17"/>
      <c r="P15" s="24"/>
      <c r="Q15" s="17"/>
    </row>
    <row r="16" spans="1:20" s="14" customFormat="1">
      <c r="A16" s="1" t="s">
        <v>8</v>
      </c>
      <c r="B16" s="1"/>
      <c r="C16" s="1" t="s">
        <v>73</v>
      </c>
      <c r="D16" s="1" t="s">
        <v>79</v>
      </c>
      <c r="E16" s="1"/>
      <c r="F16" s="1"/>
      <c r="G16" s="1"/>
      <c r="H16" s="1"/>
      <c r="I16" s="1"/>
      <c r="J16" s="1"/>
      <c r="K16" s="1"/>
      <c r="L16" s="1"/>
      <c r="M16" s="16" t="s">
        <v>81</v>
      </c>
      <c r="N16" s="17"/>
    </row>
    <row r="17" spans="1:21" s="14" customFormat="1">
      <c r="A17" s="19" t="s">
        <v>9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P17" s="15"/>
      <c r="Q17" s="4"/>
    </row>
    <row r="18" spans="1:21" s="14" customFormat="1">
      <c r="A18" s="19" t="s">
        <v>10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</row>
    <row r="19" spans="1:21" s="8" customFormat="1">
      <c r="A19" s="19" t="s">
        <v>11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4"/>
    </row>
    <row r="20" spans="1:21" s="8" customFormat="1">
      <c r="A20" s="6" t="s">
        <v>12</v>
      </c>
      <c r="B20" s="6" t="s">
        <v>73</v>
      </c>
      <c r="C20" s="6" t="s">
        <v>73</v>
      </c>
      <c r="D20" s="6"/>
      <c r="E20" s="6"/>
      <c r="F20" s="6"/>
      <c r="G20" s="6"/>
      <c r="H20" s="6"/>
      <c r="I20" s="6"/>
      <c r="J20" s="6"/>
      <c r="K20" s="6"/>
      <c r="L20" s="6"/>
      <c r="M20" s="18" t="s">
        <v>125</v>
      </c>
    </row>
    <row r="21" spans="1:21">
      <c r="A21" s="6" t="s">
        <v>12</v>
      </c>
      <c r="B21" s="6" t="s">
        <v>73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16" t="s">
        <v>126</v>
      </c>
      <c r="N21" s="8"/>
    </row>
    <row r="22" spans="1:21">
      <c r="A22" s="1" t="s">
        <v>129</v>
      </c>
      <c r="B22" s="1">
        <v>14.9</v>
      </c>
      <c r="C22" s="1">
        <v>84.6</v>
      </c>
      <c r="D22" s="1">
        <v>0.5</v>
      </c>
      <c r="E22" s="1"/>
      <c r="F22" s="1"/>
      <c r="G22" s="1"/>
      <c r="H22" s="1"/>
      <c r="I22" s="1"/>
      <c r="J22" s="1"/>
      <c r="K22" s="1"/>
      <c r="L22" s="1"/>
      <c r="M22" s="16" t="s">
        <v>82</v>
      </c>
      <c r="N22" s="5"/>
    </row>
    <row r="23" spans="1:21">
      <c r="A23" s="1" t="s">
        <v>130</v>
      </c>
      <c r="B23" s="1">
        <v>80</v>
      </c>
      <c r="C23" s="1">
        <v>2</v>
      </c>
      <c r="D23" s="1">
        <v>1</v>
      </c>
      <c r="E23" s="1"/>
      <c r="F23" s="1">
        <v>1</v>
      </c>
      <c r="G23" s="1"/>
      <c r="H23" s="1"/>
      <c r="I23" s="1"/>
      <c r="J23" s="1"/>
      <c r="K23" s="1"/>
      <c r="L23" s="1"/>
      <c r="M23" s="16" t="s">
        <v>76</v>
      </c>
      <c r="N23" s="5"/>
      <c r="P23" s="4"/>
      <c r="R23" s="4"/>
    </row>
    <row r="24" spans="1:21" s="14" customFormat="1">
      <c r="A24" s="1" t="s">
        <v>13</v>
      </c>
      <c r="B24" s="1"/>
      <c r="C24" s="1"/>
      <c r="D24" s="1">
        <v>22.6</v>
      </c>
      <c r="E24" s="1"/>
      <c r="F24" s="1"/>
      <c r="G24" s="1"/>
      <c r="H24" s="1"/>
      <c r="I24" s="1"/>
      <c r="J24" s="1">
        <v>77.5</v>
      </c>
      <c r="K24" s="1"/>
      <c r="L24" s="1"/>
      <c r="M24" s="16" t="s">
        <v>84</v>
      </c>
      <c r="N24"/>
    </row>
    <row r="25" spans="1:21" s="14" customFormat="1">
      <c r="A25" s="19" t="s">
        <v>14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P25" s="15"/>
      <c r="R25" s="15"/>
      <c r="U25" s="23"/>
    </row>
    <row r="26" spans="1:21">
      <c r="A26" s="19" t="s">
        <v>15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4"/>
      <c r="P26" s="4"/>
    </row>
    <row r="27" spans="1:21">
      <c r="A27" s="1" t="s">
        <v>16</v>
      </c>
      <c r="B27" s="1"/>
      <c r="C27" s="1">
        <v>73</v>
      </c>
      <c r="D27" s="6">
        <v>3.5</v>
      </c>
      <c r="E27" s="6"/>
      <c r="F27" s="6">
        <v>11.8</v>
      </c>
      <c r="G27" s="6"/>
      <c r="H27" s="6">
        <v>7.1</v>
      </c>
      <c r="I27" s="1"/>
      <c r="J27" s="1"/>
      <c r="K27" s="1"/>
      <c r="L27" s="1"/>
      <c r="M27" s="16" t="s">
        <v>85</v>
      </c>
      <c r="O27" s="4"/>
    </row>
    <row r="28" spans="1:21">
      <c r="A28" s="1" t="s">
        <v>17</v>
      </c>
      <c r="B28" s="1"/>
      <c r="C28" s="1" t="s">
        <v>73</v>
      </c>
      <c r="D28" s="1" t="s">
        <v>86</v>
      </c>
      <c r="E28" s="1"/>
      <c r="F28" s="1"/>
      <c r="G28" s="1"/>
      <c r="H28" s="1"/>
      <c r="I28" s="1"/>
      <c r="J28" s="1"/>
      <c r="K28" s="1"/>
      <c r="L28" s="1"/>
      <c r="M28" s="16" t="s">
        <v>87</v>
      </c>
      <c r="O28" s="4"/>
      <c r="P28" s="7"/>
      <c r="Q28" s="4"/>
      <c r="U28" s="4"/>
    </row>
    <row r="29" spans="1:21" s="14" customFormat="1">
      <c r="A29" s="1" t="s">
        <v>18</v>
      </c>
      <c r="B29" s="1" t="s">
        <v>73</v>
      </c>
      <c r="C29" s="1" t="s">
        <v>73</v>
      </c>
      <c r="D29" s="1"/>
      <c r="E29" s="1"/>
      <c r="F29" s="1"/>
      <c r="G29" s="1"/>
      <c r="H29" s="1" t="s">
        <v>88</v>
      </c>
      <c r="I29" s="1"/>
      <c r="J29" s="1"/>
      <c r="K29" s="1"/>
      <c r="L29" s="1"/>
      <c r="M29" s="16" t="s">
        <v>89</v>
      </c>
      <c r="N29"/>
      <c r="O29" s="15"/>
      <c r="P29" s="25"/>
      <c r="Q29" s="15"/>
    </row>
    <row r="30" spans="1:21" s="8" customFormat="1">
      <c r="A30" s="19" t="s">
        <v>19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4"/>
    </row>
    <row r="31" spans="1:21">
      <c r="A31" s="6" t="s">
        <v>20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8"/>
    </row>
    <row r="32" spans="1:21">
      <c r="A32" s="1" t="s">
        <v>131</v>
      </c>
      <c r="B32" s="1">
        <v>67</v>
      </c>
      <c r="C32" s="1"/>
      <c r="D32" s="1">
        <v>33</v>
      </c>
      <c r="E32" s="1"/>
      <c r="F32" s="1"/>
      <c r="G32" s="1"/>
      <c r="H32" s="1"/>
      <c r="I32" s="1"/>
      <c r="J32" s="1"/>
      <c r="K32" s="1"/>
      <c r="L32" s="1"/>
      <c r="M32" s="16" t="s">
        <v>77</v>
      </c>
    </row>
    <row r="33" spans="1:34">
      <c r="A33" s="1" t="s">
        <v>131</v>
      </c>
      <c r="B33" s="21">
        <v>5.71</v>
      </c>
      <c r="C33" s="21">
        <v>92.86</v>
      </c>
      <c r="D33" s="21"/>
      <c r="E33" s="21"/>
      <c r="F33" s="21"/>
      <c r="G33" s="21"/>
      <c r="H33" s="21"/>
      <c r="I33" s="21"/>
      <c r="J33" s="21"/>
      <c r="K33" s="21"/>
      <c r="L33" s="21"/>
      <c r="M33" s="22"/>
    </row>
    <row r="34" spans="1:34">
      <c r="A34" s="1" t="s">
        <v>131</v>
      </c>
      <c r="B34" s="1">
        <v>100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6" t="s">
        <v>76</v>
      </c>
      <c r="O34" s="8"/>
      <c r="P34" s="4"/>
      <c r="Q34" s="8"/>
      <c r="R34" s="4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 spans="1:34">
      <c r="A35" s="6" t="s">
        <v>21</v>
      </c>
      <c r="B35" s="6"/>
      <c r="C35" s="6"/>
      <c r="D35" s="6"/>
      <c r="E35" s="6"/>
      <c r="F35" s="6"/>
      <c r="G35" s="6"/>
      <c r="H35" s="6"/>
      <c r="I35" s="6"/>
      <c r="J35" s="6"/>
      <c r="K35" s="6">
        <v>100</v>
      </c>
      <c r="L35" s="6"/>
      <c r="M35" s="6"/>
      <c r="N35" s="8"/>
      <c r="O35" s="8"/>
      <c r="P35" s="4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 spans="1:34">
      <c r="A36" s="6" t="s">
        <v>21</v>
      </c>
      <c r="B36" s="6"/>
      <c r="C36" s="6"/>
      <c r="D36" s="6"/>
      <c r="E36" s="6"/>
      <c r="F36" s="6"/>
      <c r="G36" s="6"/>
      <c r="H36" s="6"/>
      <c r="I36" s="6"/>
      <c r="J36" s="6"/>
      <c r="K36" s="6">
        <v>100</v>
      </c>
      <c r="L36" s="6"/>
      <c r="M36" s="6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 spans="1:34">
      <c r="A37" s="6" t="s">
        <v>21</v>
      </c>
      <c r="B37" s="6"/>
      <c r="C37" s="6"/>
      <c r="D37" s="6"/>
      <c r="E37" s="6"/>
      <c r="F37" s="6"/>
      <c r="G37" s="6"/>
      <c r="H37" s="6"/>
      <c r="I37" s="6"/>
      <c r="J37" s="6"/>
      <c r="K37" s="6">
        <v>100</v>
      </c>
      <c r="L37" s="6"/>
      <c r="M37" s="16" t="s">
        <v>76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 spans="1:34">
      <c r="A38" s="6" t="s">
        <v>23</v>
      </c>
      <c r="B38" s="6">
        <f>MEDIAN(46.4, 51.1)</f>
        <v>48.75</v>
      </c>
      <c r="C38" s="6">
        <f>MEDIAN((0.5 + 1.7 + 3.2 + 27.2 +19.6 +0.01), (0.3+1.5+2.1+26.1+18.2))</f>
        <v>50.204999999999998</v>
      </c>
      <c r="D38" s="6">
        <v>0.8</v>
      </c>
      <c r="E38" s="6"/>
      <c r="F38" s="6"/>
      <c r="G38" s="6"/>
      <c r="H38" s="6"/>
      <c r="I38" s="6"/>
      <c r="J38" s="6"/>
      <c r="K38" s="6"/>
      <c r="L38" s="6"/>
      <c r="M38" s="16" t="s">
        <v>97</v>
      </c>
      <c r="N38" s="8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spans="1:34">
      <c r="A39" s="6" t="s">
        <v>24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16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1:34">
      <c r="A40" s="6" t="s">
        <v>133</v>
      </c>
      <c r="B40" s="2">
        <v>23.27</v>
      </c>
      <c r="C40" s="2"/>
      <c r="D40" s="6">
        <v>45.24</v>
      </c>
      <c r="E40" s="6"/>
      <c r="F40" s="6"/>
      <c r="G40" s="6"/>
      <c r="H40" s="6"/>
      <c r="I40" s="6"/>
      <c r="J40" s="6">
        <v>31.51</v>
      </c>
      <c r="K40" s="6"/>
      <c r="L40" s="6"/>
      <c r="M40" s="18" t="s">
        <v>94</v>
      </c>
      <c r="N40" s="3"/>
      <c r="O40" s="8"/>
      <c r="P40" s="4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 spans="1:34">
      <c r="A41" s="6" t="s">
        <v>25</v>
      </c>
      <c r="B41" s="6">
        <v>99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16" t="s">
        <v>75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</row>
    <row r="42" spans="1:34">
      <c r="A42" s="6" t="s">
        <v>25</v>
      </c>
      <c r="B42" s="6"/>
      <c r="C42" s="6"/>
      <c r="D42" s="6"/>
      <c r="E42" s="6"/>
      <c r="F42" s="6"/>
      <c r="G42" s="6"/>
      <c r="H42" s="6"/>
      <c r="I42" s="6"/>
      <c r="J42" s="6">
        <v>100</v>
      </c>
      <c r="K42" s="6"/>
      <c r="L42" s="6"/>
      <c r="M42" s="16" t="s">
        <v>84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 spans="1:34">
      <c r="A43" s="6" t="s">
        <v>25</v>
      </c>
      <c r="B43" s="6">
        <v>98</v>
      </c>
      <c r="C43" s="6">
        <v>1</v>
      </c>
      <c r="D43" s="6"/>
      <c r="E43" s="6"/>
      <c r="F43" s="6"/>
      <c r="G43" s="6"/>
      <c r="H43" s="6"/>
      <c r="I43" s="6"/>
      <c r="J43" s="6"/>
      <c r="K43" s="6"/>
      <c r="L43" s="6"/>
      <c r="M43" s="16" t="s">
        <v>75</v>
      </c>
      <c r="N43" s="8"/>
      <c r="O43" s="8"/>
      <c r="P43" s="4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</row>
    <row r="44" spans="1:34">
      <c r="A44" s="6" t="s">
        <v>26</v>
      </c>
      <c r="B44" s="6">
        <v>78.150000000000006</v>
      </c>
      <c r="C44" s="6">
        <v>0.01</v>
      </c>
      <c r="D44" s="6">
        <v>1.33</v>
      </c>
      <c r="E44" s="6">
        <v>0.01</v>
      </c>
      <c r="F44" s="6"/>
      <c r="G44" s="6"/>
      <c r="H44" s="6"/>
      <c r="I44" s="6"/>
      <c r="J44" s="6">
        <v>20.5</v>
      </c>
      <c r="K44" s="6"/>
      <c r="L44" s="6"/>
      <c r="M44" s="16" t="s">
        <v>93</v>
      </c>
      <c r="N44" s="8"/>
      <c r="O44" s="8"/>
      <c r="P44" s="4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  <row r="45" spans="1:34">
      <c r="A45" s="6" t="s">
        <v>95</v>
      </c>
      <c r="B45" s="6"/>
      <c r="C45" s="6">
        <v>0.08</v>
      </c>
      <c r="D45" s="6">
        <v>73.260000000000005</v>
      </c>
      <c r="E45" s="6">
        <v>7.0000000000000007E-2</v>
      </c>
      <c r="F45" s="6"/>
      <c r="G45" s="6"/>
      <c r="H45" s="6"/>
      <c r="I45" s="6"/>
      <c r="J45" s="6">
        <v>15.83</v>
      </c>
      <c r="K45" s="6"/>
      <c r="L45" s="6"/>
      <c r="M45" s="16" t="s">
        <v>93</v>
      </c>
      <c r="N45" s="8"/>
      <c r="O45" s="8"/>
      <c r="P45" s="4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 spans="1:34" s="8" customFormat="1">
      <c r="A46" s="6" t="s">
        <v>96</v>
      </c>
      <c r="B46" s="6">
        <v>20.7</v>
      </c>
      <c r="C46" s="6">
        <v>9.39</v>
      </c>
      <c r="D46" s="6">
        <v>3.02</v>
      </c>
      <c r="E46" s="6">
        <v>49.06</v>
      </c>
      <c r="F46" s="6"/>
      <c r="G46" s="6"/>
      <c r="H46" s="6"/>
      <c r="I46" s="6"/>
      <c r="J46" s="6">
        <v>17.84</v>
      </c>
      <c r="K46" s="6"/>
      <c r="L46" s="6"/>
      <c r="M46" s="16" t="s">
        <v>93</v>
      </c>
      <c r="R46" s="9"/>
      <c r="S46" s="9"/>
    </row>
    <row r="47" spans="1:34">
      <c r="A47" s="6" t="s">
        <v>27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8"/>
    </row>
    <row r="48" spans="1:34">
      <c r="A48" s="1" t="s">
        <v>134</v>
      </c>
      <c r="B48" s="1">
        <v>100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6" t="s">
        <v>98</v>
      </c>
      <c r="N48" s="8"/>
    </row>
    <row r="49" spans="1:24">
      <c r="A49" s="1" t="s">
        <v>134</v>
      </c>
      <c r="B49" s="1">
        <v>14.92</v>
      </c>
      <c r="C49" s="1">
        <v>14.29</v>
      </c>
      <c r="D49" s="1">
        <f>14.29+57.14</f>
        <v>71.430000000000007</v>
      </c>
      <c r="E49" s="1"/>
      <c r="F49" s="1">
        <v>14.29</v>
      </c>
      <c r="G49" s="1"/>
      <c r="H49" s="1"/>
      <c r="I49" s="1"/>
      <c r="J49" s="1"/>
      <c r="K49" s="1"/>
      <c r="L49" s="1"/>
      <c r="M49" s="16" t="s">
        <v>99</v>
      </c>
      <c r="N49" s="8"/>
    </row>
    <row r="50" spans="1:24">
      <c r="A50" s="1" t="s">
        <v>134</v>
      </c>
      <c r="B50" s="1">
        <v>100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6" t="s">
        <v>99</v>
      </c>
      <c r="N50" s="8"/>
    </row>
    <row r="51" spans="1:24">
      <c r="A51" s="1" t="s">
        <v>135</v>
      </c>
      <c r="B51" s="1">
        <v>96.3</v>
      </c>
      <c r="C51" s="1">
        <f>1.96+0.19+0.001</f>
        <v>2.1509999999999998</v>
      </c>
      <c r="D51" s="1"/>
      <c r="E51" s="1"/>
      <c r="F51" s="1">
        <v>1.54</v>
      </c>
      <c r="G51" s="1"/>
      <c r="H51" s="1"/>
      <c r="I51" s="1"/>
      <c r="J51" s="1"/>
      <c r="K51" s="1"/>
      <c r="L51" s="1"/>
      <c r="M51" s="16" t="s">
        <v>100</v>
      </c>
      <c r="N51" s="8"/>
    </row>
    <row r="52" spans="1:24" s="14" customFormat="1">
      <c r="A52" s="1" t="s">
        <v>135</v>
      </c>
      <c r="B52" s="1">
        <v>90.34</v>
      </c>
      <c r="C52" s="1">
        <f>4.64+0.06+0.001</f>
        <v>4.7009999999999996</v>
      </c>
      <c r="D52" s="1"/>
      <c r="E52" s="1"/>
      <c r="F52" s="1">
        <v>4.9400000000000004</v>
      </c>
      <c r="G52" s="1"/>
      <c r="H52" s="1"/>
      <c r="I52" s="1"/>
      <c r="J52" s="1"/>
      <c r="K52" s="1"/>
      <c r="L52" s="1"/>
      <c r="M52" s="16" t="s">
        <v>100</v>
      </c>
      <c r="N52" s="8"/>
      <c r="P52" s="15"/>
    </row>
    <row r="53" spans="1:24">
      <c r="A53" s="19" t="s">
        <v>28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4"/>
      <c r="P53" s="4"/>
    </row>
    <row r="54" spans="1:24">
      <c r="A54" s="1" t="s">
        <v>29</v>
      </c>
      <c r="B54" s="1" t="s">
        <v>73</v>
      </c>
      <c r="C54" s="1" t="s">
        <v>73</v>
      </c>
      <c r="D54" s="1"/>
      <c r="E54" s="1"/>
      <c r="F54" s="1"/>
      <c r="G54" s="1"/>
      <c r="H54" s="1"/>
      <c r="I54" s="1"/>
      <c r="J54" s="1"/>
      <c r="K54" s="1"/>
      <c r="L54" s="1"/>
      <c r="M54" s="16" t="s">
        <v>90</v>
      </c>
      <c r="N54" s="8"/>
      <c r="P54" s="4"/>
    </row>
    <row r="55" spans="1:24">
      <c r="A55" s="1" t="s">
        <v>29</v>
      </c>
      <c r="B55" s="1">
        <v>100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6" t="s">
        <v>119</v>
      </c>
      <c r="N55" s="8"/>
      <c r="P55" s="4"/>
    </row>
    <row r="56" spans="1:24">
      <c r="A56" s="1" t="s">
        <v>30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6"/>
      <c r="N56" s="8"/>
      <c r="O56" s="8"/>
      <c r="Q56" s="4"/>
    </row>
    <row r="57" spans="1:24">
      <c r="A57" s="1" t="s">
        <v>136</v>
      </c>
      <c r="B57" s="1"/>
      <c r="C57" s="1">
        <f>22.6+14.9+6.87+6.24+5.84</f>
        <v>56.45</v>
      </c>
      <c r="D57" s="1"/>
      <c r="E57" s="1"/>
      <c r="F57" s="1"/>
      <c r="G57" s="1"/>
      <c r="H57" s="1"/>
      <c r="I57" s="1"/>
      <c r="J57" s="1"/>
      <c r="K57" s="1"/>
      <c r="L57" s="1"/>
      <c r="M57" s="16" t="s">
        <v>101</v>
      </c>
      <c r="N57" s="16"/>
      <c r="P57" s="4"/>
    </row>
    <row r="58" spans="1:24">
      <c r="A58" s="1" t="s">
        <v>136</v>
      </c>
      <c r="B58" s="1"/>
      <c r="C58" s="1">
        <f>24.5+19.4+15.4+9.45+8.45</f>
        <v>77.2</v>
      </c>
      <c r="D58" s="1"/>
      <c r="E58" s="1"/>
      <c r="F58" s="1"/>
      <c r="G58" s="1"/>
      <c r="H58" s="1"/>
      <c r="I58" s="1"/>
      <c r="J58" s="1"/>
      <c r="K58" s="1"/>
      <c r="L58" s="1"/>
      <c r="M58" s="16" t="s">
        <v>101</v>
      </c>
      <c r="N58" s="8"/>
      <c r="P58" s="4"/>
    </row>
    <row r="59" spans="1:24">
      <c r="A59" s="1" t="s">
        <v>136</v>
      </c>
      <c r="B59" s="1"/>
      <c r="C59" s="1">
        <f>37.7+11.26+10.34+7.37+6.06</f>
        <v>72.73</v>
      </c>
      <c r="D59" s="1"/>
      <c r="E59" s="1"/>
      <c r="F59" s="1"/>
      <c r="G59" s="1"/>
      <c r="H59" s="1"/>
      <c r="I59" s="1"/>
      <c r="J59" s="1"/>
      <c r="K59" s="1"/>
      <c r="L59" s="1"/>
      <c r="M59" s="16" t="s">
        <v>101</v>
      </c>
      <c r="N59" s="8"/>
      <c r="P59" s="4"/>
      <c r="R59" s="4"/>
    </row>
    <row r="60" spans="1:24">
      <c r="A60" s="1" t="s">
        <v>31</v>
      </c>
      <c r="B60" s="1"/>
      <c r="C60" s="1"/>
      <c r="D60" s="1" t="s">
        <v>73</v>
      </c>
      <c r="E60" s="1"/>
      <c r="F60" s="1"/>
      <c r="G60" s="1"/>
      <c r="H60" s="1"/>
      <c r="I60" s="1"/>
      <c r="J60" s="1"/>
      <c r="K60" s="1"/>
      <c r="L60" s="1"/>
      <c r="M60" s="16" t="s">
        <v>122</v>
      </c>
      <c r="N60" s="8"/>
    </row>
    <row r="61" spans="1:24" s="14" customFormat="1">
      <c r="A61" s="1" t="s">
        <v>32</v>
      </c>
      <c r="B61" s="1"/>
      <c r="C61" s="1"/>
      <c r="D61" s="1">
        <v>99</v>
      </c>
      <c r="E61" s="1"/>
      <c r="F61" s="1"/>
      <c r="G61" s="1"/>
      <c r="H61" s="1"/>
      <c r="I61" s="1"/>
      <c r="J61" s="1"/>
      <c r="K61" s="1"/>
      <c r="L61" s="1">
        <v>2</v>
      </c>
      <c r="M61" s="16" t="s">
        <v>102</v>
      </c>
      <c r="N61" s="8"/>
      <c r="P61" s="15"/>
    </row>
    <row r="62" spans="1:24">
      <c r="A62" s="19" t="s">
        <v>33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4"/>
      <c r="P62" s="4"/>
    </row>
    <row r="63" spans="1:24">
      <c r="A63" s="1" t="s">
        <v>34</v>
      </c>
      <c r="B63" s="1"/>
      <c r="C63" s="1">
        <v>83.9</v>
      </c>
      <c r="D63" s="1">
        <v>16.7</v>
      </c>
      <c r="E63" s="1"/>
      <c r="F63" s="1"/>
      <c r="G63" s="1"/>
      <c r="H63" s="1"/>
      <c r="I63" s="1"/>
      <c r="J63" s="1"/>
      <c r="K63" s="1"/>
      <c r="L63" s="1"/>
      <c r="M63" s="16" t="s">
        <v>84</v>
      </c>
      <c r="N63" s="8"/>
    </row>
    <row r="64" spans="1:24">
      <c r="A64" s="1" t="s">
        <v>137</v>
      </c>
      <c r="B64" s="1"/>
      <c r="C64" s="1"/>
      <c r="D64" s="1">
        <v>40.9</v>
      </c>
      <c r="E64" s="1"/>
      <c r="F64" s="1"/>
      <c r="G64" s="1"/>
      <c r="H64" s="1"/>
      <c r="I64" s="1"/>
      <c r="J64" s="1"/>
      <c r="K64" s="1"/>
      <c r="L64" s="1"/>
      <c r="M64" s="16" t="s">
        <v>84</v>
      </c>
      <c r="N64" s="8"/>
      <c r="O64" s="4"/>
      <c r="V64" s="4"/>
      <c r="X64" s="4" t="s">
        <v>36</v>
      </c>
    </row>
    <row r="65" spans="1:24">
      <c r="A65" s="1" t="s">
        <v>35</v>
      </c>
      <c r="B65" s="1">
        <v>24.9</v>
      </c>
      <c r="C65" s="1"/>
      <c r="D65" s="1">
        <v>5.4</v>
      </c>
      <c r="E65" s="1"/>
      <c r="F65" s="1">
        <v>7.7</v>
      </c>
      <c r="G65" s="1"/>
      <c r="H65" s="1">
        <v>50.2</v>
      </c>
      <c r="I65" s="1"/>
      <c r="J65" s="1"/>
      <c r="K65" s="1"/>
      <c r="L65" s="1"/>
      <c r="M65" s="16" t="s">
        <v>76</v>
      </c>
      <c r="N65" s="10"/>
      <c r="O65" s="4"/>
      <c r="V65" s="4"/>
      <c r="X65" s="4"/>
    </row>
    <row r="66" spans="1:24">
      <c r="A66" s="1" t="s">
        <v>35</v>
      </c>
      <c r="B66" s="1"/>
      <c r="C66" s="1" t="s">
        <v>73</v>
      </c>
      <c r="D66" s="1"/>
      <c r="E66" s="1"/>
      <c r="F66" s="1"/>
      <c r="G66" s="1"/>
      <c r="H66" s="1"/>
      <c r="I66" s="1" t="s">
        <v>73</v>
      </c>
      <c r="J66" s="1"/>
      <c r="K66" s="1"/>
      <c r="L66" s="1"/>
      <c r="M66" s="16" t="s">
        <v>128</v>
      </c>
      <c r="N66" s="10"/>
    </row>
    <row r="67" spans="1:24">
      <c r="A67" s="1" t="s">
        <v>35</v>
      </c>
      <c r="B67" s="1">
        <f>12.9+28.1</f>
        <v>41</v>
      </c>
      <c r="C67" s="1"/>
      <c r="D67" s="1">
        <f>13.3+45.7</f>
        <v>59</v>
      </c>
      <c r="E67" s="1"/>
      <c r="F67" s="1"/>
      <c r="G67" s="1"/>
      <c r="H67" s="1"/>
      <c r="I67" s="1"/>
      <c r="J67" s="1">
        <v>28.1</v>
      </c>
      <c r="K67" s="1"/>
      <c r="L67" s="1"/>
      <c r="M67" s="16" t="s">
        <v>98</v>
      </c>
      <c r="N67" s="10"/>
    </row>
    <row r="68" spans="1:24">
      <c r="A68" s="1" t="s">
        <v>138</v>
      </c>
      <c r="B68" s="1" t="s">
        <v>73</v>
      </c>
      <c r="C68" s="1"/>
      <c r="D68" s="1" t="s">
        <v>73</v>
      </c>
      <c r="E68" s="1"/>
      <c r="F68" s="1"/>
      <c r="G68" s="1"/>
      <c r="H68" s="1"/>
      <c r="I68" s="1"/>
      <c r="J68" s="1" t="s">
        <v>73</v>
      </c>
      <c r="K68" s="1"/>
      <c r="L68" s="1"/>
      <c r="M68" s="16" t="s">
        <v>103</v>
      </c>
      <c r="N68" s="10"/>
    </row>
    <row r="69" spans="1:24">
      <c r="A69" s="1" t="s">
        <v>139</v>
      </c>
      <c r="B69" s="1" t="s">
        <v>73</v>
      </c>
      <c r="C69" s="1"/>
      <c r="D69" s="1" t="s">
        <v>73</v>
      </c>
      <c r="E69" s="1"/>
      <c r="F69" s="1"/>
      <c r="G69" s="1"/>
      <c r="H69" s="1"/>
      <c r="I69" s="1"/>
      <c r="J69" s="1" t="s">
        <v>73</v>
      </c>
      <c r="K69" s="1"/>
      <c r="L69" s="1"/>
      <c r="M69" s="16" t="s">
        <v>103</v>
      </c>
      <c r="N69" s="10"/>
    </row>
    <row r="70" spans="1:24">
      <c r="A70" s="1" t="s">
        <v>140</v>
      </c>
      <c r="B70" s="1" t="s">
        <v>73</v>
      </c>
      <c r="C70" s="1"/>
      <c r="D70" s="1" t="s">
        <v>73</v>
      </c>
      <c r="E70" s="1"/>
      <c r="F70" s="1"/>
      <c r="G70" s="1"/>
      <c r="H70" s="1"/>
      <c r="I70" s="1"/>
      <c r="J70" s="1" t="s">
        <v>73</v>
      </c>
      <c r="K70" s="1"/>
      <c r="L70" s="1"/>
      <c r="M70" s="16" t="s">
        <v>103</v>
      </c>
      <c r="N70" s="10"/>
    </row>
    <row r="71" spans="1:24">
      <c r="A71" s="1" t="s">
        <v>142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6"/>
      <c r="N71" s="10"/>
      <c r="P71" s="4"/>
    </row>
    <row r="72" spans="1:24">
      <c r="A72" s="1" t="s">
        <v>141</v>
      </c>
      <c r="B72" s="1">
        <f>45.49+34.45</f>
        <v>79.94</v>
      </c>
      <c r="C72" s="1"/>
      <c r="D72" s="1">
        <f>4.3+1.89+2.04+0.45+0.01+0.67</f>
        <v>9.36</v>
      </c>
      <c r="E72" s="1"/>
      <c r="F72" s="1"/>
      <c r="G72" s="1"/>
      <c r="H72" s="1"/>
      <c r="I72" s="1"/>
      <c r="J72" s="1">
        <v>9.6300000000000008</v>
      </c>
      <c r="K72" s="1"/>
      <c r="L72" s="1"/>
      <c r="M72" s="16" t="s">
        <v>104</v>
      </c>
      <c r="N72" s="10"/>
      <c r="P72" s="4"/>
    </row>
    <row r="73" spans="1:24">
      <c r="A73" s="1" t="s">
        <v>142</v>
      </c>
      <c r="B73" s="1">
        <v>28</v>
      </c>
      <c r="C73" s="1">
        <v>88</v>
      </c>
      <c r="D73" s="1">
        <v>16</v>
      </c>
      <c r="E73" s="1"/>
      <c r="F73" s="1">
        <v>12</v>
      </c>
      <c r="G73" s="1"/>
      <c r="H73" s="1"/>
      <c r="I73" s="1"/>
      <c r="J73" s="1"/>
      <c r="K73" s="1"/>
      <c r="L73" s="1"/>
      <c r="M73" s="16" t="s">
        <v>92</v>
      </c>
      <c r="N73" s="10"/>
      <c r="P73" s="4"/>
    </row>
    <row r="74" spans="1:24">
      <c r="A74" s="1" t="s">
        <v>143</v>
      </c>
      <c r="B74" s="1">
        <v>86.9</v>
      </c>
      <c r="C74" s="1">
        <v>1.7</v>
      </c>
      <c r="D74" s="1"/>
      <c r="E74" s="1"/>
      <c r="F74" s="1">
        <v>11.4</v>
      </c>
      <c r="G74" s="1"/>
      <c r="H74" s="1"/>
      <c r="I74" s="1"/>
      <c r="J74" s="1"/>
      <c r="K74" s="1"/>
      <c r="L74" s="1"/>
      <c r="M74" s="16" t="s">
        <v>115</v>
      </c>
      <c r="N74" s="10"/>
      <c r="P74" s="4"/>
    </row>
    <row r="75" spans="1:24">
      <c r="A75" s="1" t="s">
        <v>144</v>
      </c>
      <c r="B75" s="1"/>
      <c r="C75" s="1"/>
      <c r="D75" s="1" t="s">
        <v>73</v>
      </c>
      <c r="E75" s="1"/>
      <c r="F75" s="1"/>
      <c r="G75" s="1"/>
      <c r="H75" s="1"/>
      <c r="I75" s="1" t="s">
        <v>73</v>
      </c>
      <c r="J75" s="1"/>
      <c r="K75" s="1"/>
      <c r="L75" s="1"/>
      <c r="M75" s="16" t="s">
        <v>123</v>
      </c>
      <c r="N75" s="10"/>
    </row>
    <row r="76" spans="1:24">
      <c r="A76" s="1" t="s">
        <v>37</v>
      </c>
      <c r="B76" s="1"/>
      <c r="C76" s="1">
        <v>29</v>
      </c>
      <c r="D76" s="1">
        <f>52+0.03+0.03</f>
        <v>52.06</v>
      </c>
      <c r="E76" s="1"/>
      <c r="F76" s="1">
        <v>0.02</v>
      </c>
      <c r="G76" s="1"/>
      <c r="H76" s="1"/>
      <c r="I76" s="1"/>
      <c r="J76" s="1"/>
      <c r="K76" s="1"/>
      <c r="L76" s="1"/>
      <c r="M76" s="16" t="s">
        <v>105</v>
      </c>
    </row>
    <row r="77" spans="1:24" s="14" customFormat="1">
      <c r="A77" s="1" t="s">
        <v>145</v>
      </c>
      <c r="B77" s="1"/>
      <c r="C77" s="1"/>
      <c r="D77" s="1">
        <v>3.4</v>
      </c>
      <c r="E77" s="1"/>
      <c r="F77" s="1"/>
      <c r="G77" s="1"/>
      <c r="H77" s="1"/>
      <c r="I77" s="1"/>
      <c r="J77" s="1"/>
      <c r="K77" s="1"/>
      <c r="L77" s="1"/>
      <c r="M77" s="16" t="s">
        <v>107</v>
      </c>
      <c r="N77"/>
    </row>
    <row r="78" spans="1:24">
      <c r="A78" s="19" t="s">
        <v>38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4"/>
      <c r="P78" s="4"/>
      <c r="Q78" s="4"/>
    </row>
    <row r="79" spans="1:24" s="14" customFormat="1">
      <c r="A79" s="1" t="s">
        <v>39</v>
      </c>
      <c r="B79" s="1" t="s">
        <v>73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6" t="s">
        <v>119</v>
      </c>
      <c r="N79" s="5"/>
    </row>
    <row r="80" spans="1:24" s="14" customFormat="1">
      <c r="A80" s="19" t="s">
        <v>146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P80" s="15"/>
    </row>
    <row r="81" spans="1:34">
      <c r="A81" s="19" t="s">
        <v>40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4"/>
      <c r="O81" s="4"/>
    </row>
    <row r="82" spans="1:34">
      <c r="A82" s="1" t="s">
        <v>41</v>
      </c>
      <c r="B82" s="1"/>
      <c r="C82" s="1"/>
      <c r="D82" s="1"/>
      <c r="E82" s="1"/>
      <c r="F82" s="1"/>
      <c r="G82" s="1"/>
      <c r="H82" s="1"/>
      <c r="I82" s="1"/>
      <c r="J82" s="1"/>
      <c r="K82" s="1" t="s">
        <v>73</v>
      </c>
      <c r="L82" s="1"/>
      <c r="M82" s="16" t="s">
        <v>90</v>
      </c>
    </row>
    <row r="83" spans="1:34">
      <c r="A83" s="1" t="s">
        <v>42</v>
      </c>
      <c r="B83" s="1"/>
      <c r="C83" s="1"/>
      <c r="D83" s="1"/>
      <c r="E83" s="1"/>
      <c r="F83" s="1"/>
      <c r="G83" s="1"/>
      <c r="H83" s="1"/>
      <c r="I83" s="1"/>
      <c r="J83" s="1"/>
      <c r="K83" s="1" t="s">
        <v>73</v>
      </c>
      <c r="L83" s="1"/>
      <c r="M83" s="16" t="s">
        <v>90</v>
      </c>
      <c r="N83" s="5"/>
      <c r="P83" s="4"/>
    </row>
    <row r="84" spans="1:34">
      <c r="A84" s="1" t="s">
        <v>43</v>
      </c>
      <c r="B84" s="1"/>
      <c r="C84" s="1" t="s">
        <v>108</v>
      </c>
      <c r="D84" s="1" t="s">
        <v>86</v>
      </c>
      <c r="E84" s="1"/>
      <c r="F84" s="1" t="s">
        <v>86</v>
      </c>
      <c r="G84" s="1"/>
      <c r="H84" s="1"/>
      <c r="I84" s="1"/>
      <c r="J84" s="1"/>
      <c r="K84" s="1"/>
      <c r="L84" s="1"/>
      <c r="M84" s="16" t="s">
        <v>109</v>
      </c>
      <c r="P84" s="4"/>
      <c r="R84" s="4"/>
      <c r="T84" s="4"/>
    </row>
    <row r="85" spans="1:34">
      <c r="A85" s="1" t="s">
        <v>44</v>
      </c>
      <c r="B85" s="1"/>
      <c r="C85" s="1" t="s">
        <v>108</v>
      </c>
      <c r="D85" s="1" t="s">
        <v>86</v>
      </c>
      <c r="E85" s="1"/>
      <c r="F85" s="1"/>
      <c r="G85" s="1"/>
      <c r="H85" s="1"/>
      <c r="I85" s="1"/>
      <c r="J85" s="1"/>
      <c r="K85" s="1"/>
      <c r="L85" s="1"/>
      <c r="M85" s="16" t="s">
        <v>110</v>
      </c>
      <c r="P85" s="4"/>
      <c r="R85" s="4"/>
      <c r="T85" s="4"/>
    </row>
    <row r="86" spans="1:34">
      <c r="A86" s="1" t="s">
        <v>44</v>
      </c>
      <c r="B86" s="1">
        <v>100</v>
      </c>
      <c r="C86" s="1"/>
      <c r="D86" s="1">
        <f>33.3+11.1+11.1</f>
        <v>55.5</v>
      </c>
      <c r="E86" s="1"/>
      <c r="F86" s="1">
        <v>11.1</v>
      </c>
      <c r="G86" s="1"/>
      <c r="H86" s="1"/>
      <c r="I86" s="1"/>
      <c r="J86" s="1">
        <v>22.2</v>
      </c>
      <c r="K86" s="1"/>
      <c r="L86" s="1"/>
      <c r="M86" s="16" t="s">
        <v>106</v>
      </c>
      <c r="P86" s="4"/>
      <c r="R86" s="4"/>
      <c r="T86" s="4"/>
    </row>
    <row r="87" spans="1:34">
      <c r="A87" s="1" t="s">
        <v>44</v>
      </c>
      <c r="B87" s="1">
        <v>92.3</v>
      </c>
      <c r="C87" s="1">
        <v>7.69</v>
      </c>
      <c r="D87" s="1">
        <f>15.3+30.76+7.69+7.69+30.76+7.69</f>
        <v>99.89</v>
      </c>
      <c r="E87" s="1"/>
      <c r="F87" s="1">
        <v>7.69</v>
      </c>
      <c r="G87" s="1"/>
      <c r="H87" s="1"/>
      <c r="I87" s="1"/>
      <c r="J87" s="1">
        <v>23.07</v>
      </c>
      <c r="K87" s="1"/>
      <c r="L87" s="1"/>
      <c r="M87" s="16" t="s">
        <v>106</v>
      </c>
      <c r="P87" s="4"/>
      <c r="R87" s="4"/>
      <c r="T87" s="4"/>
    </row>
    <row r="88" spans="1:34">
      <c r="A88" s="1" t="s">
        <v>44</v>
      </c>
      <c r="B88" s="1">
        <v>100</v>
      </c>
      <c r="C88" s="1">
        <v>20</v>
      </c>
      <c r="D88" s="1">
        <f>6.66+46.66+26.66+13.33+33.3+86.6</f>
        <v>213.20999999999998</v>
      </c>
      <c r="E88" s="1"/>
      <c r="F88" s="1">
        <v>40</v>
      </c>
      <c r="G88" s="1"/>
      <c r="H88" s="1"/>
      <c r="I88" s="1"/>
      <c r="J88" s="1">
        <v>40</v>
      </c>
      <c r="K88" s="1"/>
      <c r="L88" s="1"/>
      <c r="M88" s="16" t="s">
        <v>106</v>
      </c>
      <c r="P88" s="4"/>
      <c r="R88" s="4"/>
      <c r="T88" s="4"/>
    </row>
    <row r="89" spans="1:34">
      <c r="A89" s="1" t="s">
        <v>44</v>
      </c>
      <c r="B89" s="1">
        <v>100</v>
      </c>
      <c r="C89" s="1">
        <v>23.07</v>
      </c>
      <c r="D89" s="1">
        <f>7.69+53.8+23.07+30.76+7.69</f>
        <v>123.01</v>
      </c>
      <c r="E89" s="1"/>
      <c r="F89" s="1">
        <v>15.38</v>
      </c>
      <c r="G89" s="1"/>
      <c r="H89" s="1"/>
      <c r="I89" s="1"/>
      <c r="J89" s="1">
        <v>38.46</v>
      </c>
      <c r="K89" s="1"/>
      <c r="L89" s="1"/>
      <c r="M89" s="16" t="s">
        <v>106</v>
      </c>
    </row>
    <row r="90" spans="1:34">
      <c r="A90" s="19" t="s">
        <v>45</v>
      </c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4"/>
      <c r="O90" s="15"/>
    </row>
    <row r="91" spans="1:34">
      <c r="A91" s="1" t="s">
        <v>46</v>
      </c>
      <c r="B91" s="1" t="s">
        <v>73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6" t="s">
        <v>111</v>
      </c>
      <c r="N91" s="14"/>
      <c r="O91" s="4"/>
    </row>
    <row r="92" spans="1:34">
      <c r="A92" s="1" t="s">
        <v>148</v>
      </c>
      <c r="B92" s="1"/>
      <c r="C92" s="1" t="s">
        <v>73</v>
      </c>
      <c r="D92" s="1" t="s">
        <v>73</v>
      </c>
      <c r="E92" s="1"/>
      <c r="F92" s="1" t="s">
        <v>73</v>
      </c>
      <c r="G92" s="1" t="s">
        <v>73</v>
      </c>
      <c r="H92" s="1"/>
      <c r="I92" s="1"/>
      <c r="J92" s="1"/>
      <c r="K92" s="1"/>
      <c r="L92" s="1"/>
      <c r="M92" s="16" t="s">
        <v>113</v>
      </c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</row>
    <row r="93" spans="1:34" s="8" customFormat="1">
      <c r="A93" s="11" t="s">
        <v>47</v>
      </c>
      <c r="B93" s="11"/>
      <c r="C93" s="11"/>
      <c r="D93" s="11"/>
      <c r="E93" s="11"/>
      <c r="F93" s="11"/>
      <c r="G93" s="11"/>
      <c r="H93" s="1"/>
      <c r="I93" s="11"/>
      <c r="J93" s="11"/>
      <c r="K93" s="11"/>
      <c r="L93" s="11"/>
      <c r="M93" s="11"/>
      <c r="N93" s="12"/>
    </row>
    <row r="94" spans="1:34" s="14" customFormat="1">
      <c r="A94" s="6" t="s">
        <v>48</v>
      </c>
      <c r="B94" s="6"/>
      <c r="C94" s="6"/>
      <c r="D94" s="6"/>
      <c r="E94" s="6"/>
      <c r="F94" s="6"/>
      <c r="G94" s="6"/>
      <c r="H94" s="6"/>
      <c r="I94" s="6" t="s">
        <v>73</v>
      </c>
      <c r="J94" s="6"/>
      <c r="K94" s="6"/>
      <c r="L94" s="6"/>
      <c r="M94" s="8" t="s">
        <v>154</v>
      </c>
      <c r="N94" s="8"/>
    </row>
    <row r="95" spans="1:34" s="8" customFormat="1">
      <c r="A95" s="19" t="s">
        <v>49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4"/>
    </row>
    <row r="96" spans="1:34" s="8" customFormat="1">
      <c r="A96" s="6" t="s">
        <v>50</v>
      </c>
      <c r="B96" s="6">
        <v>9.67</v>
      </c>
      <c r="C96" s="6">
        <v>1E-3</v>
      </c>
      <c r="D96" s="6">
        <v>6.95</v>
      </c>
      <c r="E96" s="6"/>
      <c r="F96" s="6">
        <v>0.12</v>
      </c>
      <c r="G96" s="6"/>
      <c r="H96" s="6"/>
      <c r="I96" s="6">
        <v>80.05</v>
      </c>
      <c r="J96" s="6">
        <v>3.21</v>
      </c>
      <c r="K96" s="6"/>
      <c r="L96" s="6"/>
      <c r="M96" s="16" t="s">
        <v>123</v>
      </c>
      <c r="N96" s="9"/>
    </row>
    <row r="97" spans="1:18" s="8" customFormat="1">
      <c r="A97" s="6" t="s">
        <v>51</v>
      </c>
      <c r="B97" s="6"/>
      <c r="C97" s="6"/>
      <c r="D97" s="6" t="s">
        <v>73</v>
      </c>
      <c r="E97" s="6"/>
      <c r="F97" s="6"/>
      <c r="G97" s="6"/>
      <c r="H97" s="6"/>
      <c r="I97" s="6"/>
      <c r="J97" s="6"/>
      <c r="K97" s="6"/>
      <c r="L97" s="6"/>
      <c r="M97" s="16" t="s">
        <v>122</v>
      </c>
      <c r="N97" s="10"/>
    </row>
    <row r="98" spans="1:18" s="14" customFormat="1">
      <c r="A98" s="6" t="s">
        <v>51</v>
      </c>
      <c r="B98" s="6"/>
      <c r="C98" s="6"/>
      <c r="D98" s="6" t="s">
        <v>73</v>
      </c>
      <c r="E98" s="6"/>
      <c r="F98" s="6"/>
      <c r="G98" s="6"/>
      <c r="H98" s="6"/>
      <c r="I98" s="6"/>
      <c r="J98" s="6"/>
      <c r="K98" s="6"/>
      <c r="L98" s="6"/>
      <c r="M98" s="16" t="s">
        <v>127</v>
      </c>
      <c r="N98" s="10"/>
    </row>
    <row r="99" spans="1:18">
      <c r="A99" s="19" t="s">
        <v>52</v>
      </c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20"/>
      <c r="Q99" s="4"/>
    </row>
    <row r="100" spans="1:18">
      <c r="A100" s="1" t="s">
        <v>53</v>
      </c>
      <c r="B100" s="1"/>
      <c r="C100" s="1">
        <v>100</v>
      </c>
      <c r="D100" s="1"/>
      <c r="E100" s="1"/>
      <c r="F100" s="1"/>
      <c r="G100" s="1"/>
      <c r="H100" s="2"/>
      <c r="I100" s="1"/>
      <c r="J100" s="1">
        <v>70</v>
      </c>
      <c r="K100" s="1"/>
      <c r="L100" s="1"/>
      <c r="M100" s="16" t="s">
        <v>114</v>
      </c>
      <c r="N100" s="3"/>
      <c r="Q100" s="4"/>
    </row>
    <row r="101" spans="1:18">
      <c r="A101" s="1" t="s">
        <v>147</v>
      </c>
      <c r="B101" s="1"/>
      <c r="C101" s="1"/>
      <c r="D101" s="1">
        <v>100</v>
      </c>
      <c r="E101" s="1"/>
      <c r="F101" s="1"/>
      <c r="G101" s="1"/>
      <c r="H101" s="2"/>
      <c r="I101" s="1"/>
      <c r="J101" s="1"/>
      <c r="K101" s="1"/>
      <c r="L101" s="1"/>
      <c r="M101" s="16" t="s">
        <v>119</v>
      </c>
      <c r="N101" s="3"/>
    </row>
    <row r="102" spans="1:18">
      <c r="A102" s="1" t="s">
        <v>147</v>
      </c>
      <c r="B102" s="1">
        <v>70</v>
      </c>
      <c r="C102" s="1">
        <v>100</v>
      </c>
      <c r="D102" s="1"/>
      <c r="E102" s="1"/>
      <c r="F102" s="1"/>
      <c r="G102" s="1"/>
      <c r="H102" s="1"/>
      <c r="I102" s="1"/>
      <c r="J102" s="1"/>
      <c r="K102" s="1"/>
      <c r="L102" s="1"/>
      <c r="M102" s="16" t="s">
        <v>92</v>
      </c>
      <c r="N102" s="3"/>
    </row>
    <row r="103" spans="1:18">
      <c r="A103" s="1" t="s">
        <v>147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6" t="s">
        <v>119</v>
      </c>
      <c r="N103" s="3"/>
      <c r="P103" s="4"/>
      <c r="R103" s="4"/>
    </row>
    <row r="104" spans="1:18">
      <c r="A104" s="1" t="s">
        <v>54</v>
      </c>
      <c r="B104" s="1">
        <v>9.6999999999999993</v>
      </c>
      <c r="C104" s="1">
        <v>75</v>
      </c>
      <c r="D104" s="1">
        <v>9.6999999999999993</v>
      </c>
      <c r="E104" s="1"/>
      <c r="F104" s="1">
        <v>2.4</v>
      </c>
      <c r="G104" s="1"/>
      <c r="H104" s="1"/>
      <c r="I104" s="1"/>
      <c r="J104" s="1"/>
      <c r="K104" s="1"/>
      <c r="L104" s="1"/>
      <c r="M104" s="16" t="s">
        <v>76</v>
      </c>
      <c r="N104" s="3"/>
      <c r="P104" s="4"/>
    </row>
    <row r="105" spans="1:18" s="14" customFormat="1">
      <c r="A105" s="1" t="s">
        <v>54</v>
      </c>
      <c r="B105" s="1">
        <v>50</v>
      </c>
      <c r="C105" s="1"/>
      <c r="D105" s="1"/>
      <c r="E105" s="1"/>
      <c r="F105" s="1">
        <v>50</v>
      </c>
      <c r="G105" s="1"/>
      <c r="H105" s="1"/>
      <c r="I105" s="1"/>
      <c r="J105" s="1"/>
      <c r="K105" s="1"/>
      <c r="L105" s="1"/>
      <c r="M105" s="16" t="s">
        <v>115</v>
      </c>
      <c r="N105" s="3"/>
      <c r="O105" s="15"/>
    </row>
    <row r="106" spans="1:18">
      <c r="A106" s="19" t="s">
        <v>55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4"/>
      <c r="P106" s="4"/>
      <c r="R106" s="4"/>
    </row>
    <row r="107" spans="1:18">
      <c r="A107" s="1" t="s">
        <v>56</v>
      </c>
      <c r="B107" s="1"/>
      <c r="C107" s="1"/>
      <c r="D107" s="1"/>
      <c r="E107" s="1"/>
      <c r="F107" s="1"/>
      <c r="G107" s="1"/>
      <c r="H107" s="2"/>
      <c r="I107" s="1"/>
      <c r="J107" s="1"/>
      <c r="K107" s="1"/>
      <c r="L107" s="1"/>
      <c r="M107" s="1"/>
      <c r="N107" s="13"/>
    </row>
    <row r="108" spans="1:18">
      <c r="A108" s="1" t="s">
        <v>149</v>
      </c>
      <c r="B108" s="1">
        <v>50</v>
      </c>
      <c r="C108" s="1">
        <v>25</v>
      </c>
      <c r="D108" s="1"/>
      <c r="E108" s="1"/>
      <c r="F108" s="1">
        <v>12.5</v>
      </c>
      <c r="G108" s="1"/>
      <c r="H108" s="1"/>
      <c r="I108" s="1"/>
      <c r="J108" s="1"/>
      <c r="K108" s="1"/>
      <c r="L108" s="1">
        <v>12.5</v>
      </c>
      <c r="M108" s="16" t="s">
        <v>92</v>
      </c>
      <c r="N108" s="13"/>
    </row>
    <row r="109" spans="1:18">
      <c r="A109" s="1" t="s">
        <v>150</v>
      </c>
      <c r="B109" s="1"/>
      <c r="C109" s="1">
        <v>85</v>
      </c>
      <c r="D109" s="1" t="s">
        <v>116</v>
      </c>
      <c r="E109" s="1"/>
      <c r="F109" s="1">
        <v>10</v>
      </c>
      <c r="G109" s="1"/>
      <c r="H109" s="1"/>
      <c r="I109" s="1"/>
      <c r="J109" s="1"/>
      <c r="K109" s="1"/>
      <c r="L109" s="1"/>
      <c r="M109" s="16" t="s">
        <v>117</v>
      </c>
      <c r="N109" s="13"/>
      <c r="P109" s="4"/>
      <c r="R109" s="4"/>
    </row>
    <row r="110" spans="1:18">
      <c r="A110" s="1" t="s">
        <v>57</v>
      </c>
      <c r="B110" s="1">
        <v>83</v>
      </c>
      <c r="C110" s="1">
        <v>2</v>
      </c>
      <c r="D110" s="1"/>
      <c r="E110" s="1"/>
      <c r="F110" s="1"/>
      <c r="G110" s="1"/>
      <c r="H110" s="1"/>
      <c r="I110" s="1"/>
      <c r="J110" s="1"/>
      <c r="K110" s="1"/>
      <c r="L110" s="1"/>
      <c r="M110" s="16" t="s">
        <v>76</v>
      </c>
      <c r="N110" s="3"/>
    </row>
    <row r="111" spans="1:18">
      <c r="A111" s="1" t="s">
        <v>58</v>
      </c>
      <c r="B111" s="1">
        <v>96.01</v>
      </c>
      <c r="C111" s="1"/>
      <c r="D111" s="1"/>
      <c r="E111" s="1">
        <v>7.0000000000000007E-2</v>
      </c>
      <c r="F111" s="1"/>
      <c r="G111" s="1"/>
      <c r="H111" s="1"/>
      <c r="I111" s="1"/>
      <c r="J111" s="1">
        <v>3.92</v>
      </c>
      <c r="K111" s="1"/>
      <c r="L111" s="1"/>
      <c r="M111" s="16" t="s">
        <v>93</v>
      </c>
      <c r="N111" s="3"/>
    </row>
    <row r="112" spans="1:18">
      <c r="A112" s="1" t="s">
        <v>59</v>
      </c>
      <c r="B112" s="1"/>
      <c r="C112" s="1">
        <v>55.4</v>
      </c>
      <c r="D112" s="1">
        <v>7.9</v>
      </c>
      <c r="E112" s="1"/>
      <c r="F112" s="1">
        <v>7.8</v>
      </c>
      <c r="G112" s="1"/>
      <c r="H112" s="1"/>
      <c r="I112" s="1"/>
      <c r="J112" s="1">
        <v>10</v>
      </c>
      <c r="K112" s="1"/>
      <c r="L112" s="1"/>
      <c r="M112" s="16" t="s">
        <v>85</v>
      </c>
      <c r="N112" s="13"/>
    </row>
    <row r="113" spans="1:19">
      <c r="A113" s="1" t="s">
        <v>59</v>
      </c>
      <c r="B113" s="1">
        <v>100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6" t="s">
        <v>119</v>
      </c>
      <c r="N113" s="13"/>
    </row>
    <row r="114" spans="1:19">
      <c r="A114" s="1" t="s">
        <v>153</v>
      </c>
      <c r="B114" s="1"/>
      <c r="C114" s="1">
        <v>0.3</v>
      </c>
      <c r="D114" s="1">
        <f>10.7+17.9+0.1+6.7+1.1+0.3+0.2+0.8</f>
        <v>37.799999999999997</v>
      </c>
      <c r="E114" s="1"/>
      <c r="F114" s="1">
        <v>0.8</v>
      </c>
      <c r="G114" s="1"/>
      <c r="H114" s="1">
        <v>4.7</v>
      </c>
      <c r="I114" s="1"/>
      <c r="J114" s="1"/>
      <c r="K114" s="1"/>
      <c r="L114" s="1"/>
      <c r="M114" s="16" t="s">
        <v>118</v>
      </c>
      <c r="N114" s="13"/>
      <c r="O114" s="4"/>
    </row>
    <row r="115" spans="1:19">
      <c r="A115" s="1" t="s">
        <v>60</v>
      </c>
      <c r="B115" s="1"/>
      <c r="C115" s="1"/>
      <c r="D115" s="1">
        <f>100-33.3333</f>
        <v>66.666699999999992</v>
      </c>
      <c r="E115" s="1"/>
      <c r="F115" s="1">
        <v>33.333300000000001</v>
      </c>
      <c r="G115" s="1"/>
      <c r="H115" s="1"/>
      <c r="I115" s="1"/>
      <c r="J115" s="1"/>
      <c r="K115" s="1"/>
      <c r="L115" s="1"/>
      <c r="M115" s="16" t="s">
        <v>113</v>
      </c>
      <c r="N115" s="3"/>
      <c r="O115" s="4"/>
    </row>
    <row r="116" spans="1:19">
      <c r="A116" s="1" t="s">
        <v>60</v>
      </c>
      <c r="B116" s="1"/>
      <c r="C116" s="1"/>
      <c r="D116" s="1">
        <v>100</v>
      </c>
      <c r="E116" s="1"/>
      <c r="F116" s="1"/>
      <c r="G116" s="1"/>
      <c r="H116" s="1"/>
      <c r="I116" s="1"/>
      <c r="J116" s="1"/>
      <c r="K116" s="1"/>
      <c r="L116" s="1"/>
      <c r="M116" s="16" t="s">
        <v>113</v>
      </c>
      <c r="N116" s="3"/>
      <c r="Q116" s="4"/>
      <c r="S116" s="4"/>
    </row>
    <row r="117" spans="1:19">
      <c r="A117" s="1" t="s">
        <v>61</v>
      </c>
      <c r="B117" s="1"/>
      <c r="C117" s="1"/>
      <c r="D117" s="1" t="s">
        <v>73</v>
      </c>
      <c r="E117" s="1"/>
      <c r="F117" s="1"/>
      <c r="G117" s="1"/>
      <c r="H117" s="1"/>
      <c r="I117" s="1"/>
      <c r="J117" s="1"/>
      <c r="K117" s="1"/>
      <c r="L117" s="1"/>
      <c r="M117" s="16" t="s">
        <v>120</v>
      </c>
      <c r="N117" s="3"/>
      <c r="Q117" s="4"/>
    </row>
    <row r="118" spans="1:19" s="14" customFormat="1">
      <c r="A118" s="1" t="s">
        <v>151</v>
      </c>
      <c r="B118" s="1">
        <v>11.8</v>
      </c>
      <c r="C118" s="1"/>
      <c r="D118" s="1">
        <v>43.8</v>
      </c>
      <c r="E118" s="1"/>
      <c r="F118" s="1"/>
      <c r="G118" s="1"/>
      <c r="H118" s="1"/>
      <c r="I118" s="1"/>
      <c r="J118" s="1"/>
      <c r="K118" s="1"/>
      <c r="L118" s="1"/>
      <c r="M118" s="16" t="s">
        <v>76</v>
      </c>
      <c r="N118" s="3"/>
      <c r="R118" s="15"/>
    </row>
    <row r="119" spans="1:19">
      <c r="A119" s="19" t="s">
        <v>62</v>
      </c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4"/>
    </row>
    <row r="120" spans="1:19">
      <c r="A120" s="1" t="s">
        <v>63</v>
      </c>
      <c r="B120" s="1"/>
      <c r="C120" s="1" t="s">
        <v>73</v>
      </c>
      <c r="D120" s="1"/>
      <c r="E120" s="1"/>
      <c r="F120" s="1" t="s">
        <v>73</v>
      </c>
      <c r="G120" s="1"/>
      <c r="H120" s="1"/>
      <c r="I120" s="1"/>
      <c r="J120" s="1"/>
      <c r="K120" s="1"/>
      <c r="L120" s="1"/>
      <c r="M120" s="16" t="s">
        <v>113</v>
      </c>
      <c r="N120" s="3"/>
      <c r="P120" s="4"/>
    </row>
    <row r="121" spans="1:19">
      <c r="A121" s="1" t="s">
        <v>64</v>
      </c>
      <c r="B121" s="1">
        <v>90</v>
      </c>
      <c r="C121" s="1"/>
      <c r="D121" s="1"/>
      <c r="E121" s="1"/>
      <c r="F121" s="1">
        <v>0.5</v>
      </c>
      <c r="G121" s="1"/>
      <c r="H121" s="1"/>
      <c r="I121" s="1"/>
      <c r="J121" s="1"/>
      <c r="K121" s="1"/>
      <c r="L121" s="1"/>
      <c r="M121" s="16" t="s">
        <v>76</v>
      </c>
      <c r="N121" s="13"/>
      <c r="P121" s="4"/>
    </row>
    <row r="122" spans="1:19" s="14" customFormat="1">
      <c r="A122" s="1" t="s">
        <v>152</v>
      </c>
      <c r="B122" s="1">
        <v>9.6199999999999992</v>
      </c>
      <c r="C122" s="1">
        <v>100</v>
      </c>
      <c r="D122" s="1"/>
      <c r="E122" s="1"/>
      <c r="F122" s="1"/>
      <c r="G122" s="1"/>
      <c r="H122" s="1"/>
      <c r="I122" s="1"/>
      <c r="J122" s="1"/>
      <c r="K122" s="1"/>
      <c r="L122" s="1"/>
      <c r="M122" s="16" t="s">
        <v>92</v>
      </c>
      <c r="N122" s="13"/>
    </row>
    <row r="123" spans="1:19">
      <c r="A123" s="19" t="s">
        <v>65</v>
      </c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20"/>
    </row>
    <row r="124" spans="1:19">
      <c r="H124" s="2"/>
    </row>
  </sheetData>
  <phoneticPr fontId="18" type="noConversion"/>
  <conditionalFormatting sqref="B4:L12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X64" r:id="rId1" xr:uid="{DE3B0224-340C-490A-B898-87FC7E72DD9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51B5B-DDD1-4AEF-B429-5D93C302C9DD}">
  <dimension ref="A1:P124"/>
  <sheetViews>
    <sheetView tabSelected="1" topLeftCell="A82" zoomScale="60" zoomScaleNormal="60" workbookViewId="0">
      <selection activeCell="B1" sqref="B1:N1"/>
    </sheetView>
  </sheetViews>
  <sheetFormatPr defaultRowHeight="14.5"/>
  <cols>
    <col min="1" max="1" width="32.453125" bestFit="1" customWidth="1"/>
    <col min="2" max="2" width="7.453125" bestFit="1" customWidth="1"/>
    <col min="3" max="3" width="5.54296875" bestFit="1" customWidth="1"/>
    <col min="4" max="4" width="11.453125" bestFit="1" customWidth="1"/>
    <col min="5" max="5" width="9.26953125" bestFit="1" customWidth="1"/>
    <col min="6" max="6" width="6.26953125" bestFit="1" customWidth="1"/>
    <col min="7" max="7" width="7.08984375" bestFit="1" customWidth="1"/>
    <col min="8" max="8" width="10.90625" bestFit="1" customWidth="1"/>
    <col min="9" max="9" width="8.7265625" bestFit="1" customWidth="1"/>
    <col min="10" max="10" width="7.90625" bestFit="1" customWidth="1"/>
    <col min="11" max="11" width="10.6328125" bestFit="1" customWidth="1"/>
    <col min="12" max="12" width="5.54296875" bestFit="1" customWidth="1"/>
    <col min="13" max="13" width="4.453125" bestFit="1" customWidth="1"/>
    <col min="14" max="14" width="7.54296875" bestFit="1" customWidth="1"/>
    <col min="15" max="15" width="240.26953125" bestFit="1" customWidth="1"/>
    <col min="16" max="16" width="192.26953125" bestFit="1" customWidth="1"/>
  </cols>
  <sheetData>
    <row r="1" spans="1:15">
      <c r="A1" s="26" t="s">
        <v>0</v>
      </c>
      <c r="B1" s="27" t="s">
        <v>156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6" t="s">
        <v>157</v>
      </c>
    </row>
    <row r="2" spans="1:15">
      <c r="B2" t="s">
        <v>66</v>
      </c>
      <c r="C2" t="s">
        <v>67</v>
      </c>
      <c r="D2" t="s">
        <v>68</v>
      </c>
      <c r="E2" t="s">
        <v>69</v>
      </c>
      <c r="F2" t="s">
        <v>70</v>
      </c>
      <c r="G2" t="s">
        <v>112</v>
      </c>
      <c r="H2" t="s">
        <v>74</v>
      </c>
      <c r="I2" t="s">
        <v>83</v>
      </c>
      <c r="J2" t="s">
        <v>71</v>
      </c>
      <c r="K2" t="s">
        <v>72</v>
      </c>
      <c r="L2" t="s">
        <v>22</v>
      </c>
      <c r="M2" t="s">
        <v>91</v>
      </c>
      <c r="N2" t="s">
        <v>132</v>
      </c>
    </row>
    <row r="3" spans="1:15">
      <c r="A3" s="19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>
        <f>SUM(B3:M3)</f>
        <v>0</v>
      </c>
      <c r="O3" s="19"/>
    </row>
    <row r="4" spans="1:15">
      <c r="A4" s="1" t="s">
        <v>2</v>
      </c>
      <c r="B4" s="1">
        <v>60</v>
      </c>
      <c r="C4" s="1">
        <v>20</v>
      </c>
      <c r="D4" s="1">
        <v>10</v>
      </c>
      <c r="E4" s="1"/>
      <c r="F4" s="1">
        <v>10</v>
      </c>
      <c r="G4" s="1"/>
      <c r="H4" s="1"/>
      <c r="I4" s="1"/>
      <c r="J4" s="1"/>
      <c r="K4" s="1">
        <v>10</v>
      </c>
      <c r="L4" s="1"/>
      <c r="M4" s="1"/>
      <c r="N4" s="19">
        <f t="shared" ref="N4:N67" si="0">SUM(B4:M4)</f>
        <v>110</v>
      </c>
      <c r="O4" s="16" t="s">
        <v>124</v>
      </c>
    </row>
    <row r="5" spans="1:15">
      <c r="A5" s="1" t="s">
        <v>2</v>
      </c>
      <c r="B5" s="1">
        <v>50</v>
      </c>
      <c r="C5" s="1">
        <v>0</v>
      </c>
      <c r="D5" s="1">
        <v>0</v>
      </c>
      <c r="E5" s="1"/>
      <c r="F5" s="1">
        <v>30</v>
      </c>
      <c r="G5" s="1"/>
      <c r="H5" s="1"/>
      <c r="I5" s="1"/>
      <c r="J5" s="1"/>
      <c r="K5" s="1">
        <v>20</v>
      </c>
      <c r="L5" s="1"/>
      <c r="M5" s="1">
        <v>0</v>
      </c>
      <c r="N5" s="19">
        <f t="shared" si="0"/>
        <v>100</v>
      </c>
      <c r="O5" s="16" t="s">
        <v>124</v>
      </c>
    </row>
    <row r="6" spans="1:15">
      <c r="A6" s="1" t="s">
        <v>2</v>
      </c>
      <c r="B6" s="1">
        <v>50</v>
      </c>
      <c r="C6" s="1">
        <v>0</v>
      </c>
      <c r="D6" s="1">
        <v>10</v>
      </c>
      <c r="E6" s="1"/>
      <c r="F6" s="1">
        <v>10</v>
      </c>
      <c r="G6" s="1"/>
      <c r="H6" s="1"/>
      <c r="I6" s="1">
        <v>10</v>
      </c>
      <c r="J6" s="1"/>
      <c r="K6" s="1">
        <v>20</v>
      </c>
      <c r="L6" s="1"/>
      <c r="M6" s="1">
        <v>0</v>
      </c>
      <c r="N6" s="19">
        <f t="shared" si="0"/>
        <v>100</v>
      </c>
      <c r="O6" s="16" t="s">
        <v>124</v>
      </c>
    </row>
    <row r="7" spans="1:15">
      <c r="A7" s="1" t="s">
        <v>2</v>
      </c>
      <c r="B7" s="1">
        <v>50</v>
      </c>
      <c r="C7" s="1">
        <v>10</v>
      </c>
      <c r="D7" s="1">
        <v>10</v>
      </c>
      <c r="E7" s="1"/>
      <c r="F7" s="1">
        <v>10</v>
      </c>
      <c r="G7" s="1"/>
      <c r="H7" s="1"/>
      <c r="I7" s="1"/>
      <c r="J7" s="1"/>
      <c r="K7" s="1">
        <v>20</v>
      </c>
      <c r="L7" s="1"/>
      <c r="M7" s="1">
        <v>0</v>
      </c>
      <c r="N7" s="19">
        <f t="shared" si="0"/>
        <v>100</v>
      </c>
      <c r="O7" s="16" t="s">
        <v>124</v>
      </c>
    </row>
    <row r="8" spans="1:15">
      <c r="A8" s="1" t="s">
        <v>2</v>
      </c>
      <c r="B8" s="1">
        <v>50</v>
      </c>
      <c r="C8" s="1">
        <v>0</v>
      </c>
      <c r="D8" s="1">
        <v>0</v>
      </c>
      <c r="E8" s="1"/>
      <c r="F8" s="1">
        <v>10</v>
      </c>
      <c r="G8" s="1"/>
      <c r="H8" s="1"/>
      <c r="I8" s="1"/>
      <c r="J8" s="1"/>
      <c r="K8" s="1">
        <v>40</v>
      </c>
      <c r="L8" s="1"/>
      <c r="M8" s="1"/>
      <c r="N8" s="19">
        <f t="shared" si="0"/>
        <v>100</v>
      </c>
      <c r="O8" s="16" t="s">
        <v>124</v>
      </c>
    </row>
    <row r="9" spans="1:15">
      <c r="A9" s="1" t="s">
        <v>3</v>
      </c>
      <c r="B9" s="1"/>
      <c r="C9" s="1" t="s">
        <v>73</v>
      </c>
      <c r="D9" s="1"/>
      <c r="E9" s="1"/>
      <c r="F9" s="1"/>
      <c r="G9" s="1"/>
      <c r="H9" s="1"/>
      <c r="I9" s="1"/>
      <c r="J9" s="1"/>
      <c r="K9" s="1"/>
      <c r="L9" s="1"/>
      <c r="M9" s="1"/>
      <c r="N9" s="19">
        <f t="shared" si="0"/>
        <v>0</v>
      </c>
      <c r="O9" s="16" t="s">
        <v>113</v>
      </c>
    </row>
    <row r="10" spans="1:15">
      <c r="A10" s="1" t="s">
        <v>4</v>
      </c>
      <c r="B10" s="1">
        <v>100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9">
        <f t="shared" si="0"/>
        <v>100</v>
      </c>
      <c r="O10" s="16" t="s">
        <v>76</v>
      </c>
    </row>
    <row r="11" spans="1:15">
      <c r="A11" s="1" t="s">
        <v>4</v>
      </c>
      <c r="B11" s="1">
        <v>100</v>
      </c>
      <c r="C11" s="1"/>
      <c r="D11" s="1"/>
      <c r="E11" s="1"/>
      <c r="F11" s="1">
        <v>0</v>
      </c>
      <c r="G11" s="1"/>
      <c r="H11" s="1"/>
      <c r="I11" s="1"/>
      <c r="J11" s="1"/>
      <c r="K11" s="1"/>
      <c r="L11" s="1"/>
      <c r="M11" s="1"/>
      <c r="N11" s="19">
        <f t="shared" si="0"/>
        <v>100</v>
      </c>
      <c r="O11" s="16" t="s">
        <v>75</v>
      </c>
    </row>
    <row r="12" spans="1:15">
      <c r="A12" s="1" t="s">
        <v>4</v>
      </c>
      <c r="B12" s="1">
        <v>100</v>
      </c>
      <c r="C12" s="1"/>
      <c r="D12" s="1"/>
      <c r="E12" s="1"/>
      <c r="F12" s="1">
        <v>0</v>
      </c>
      <c r="G12" s="1"/>
      <c r="H12" s="1"/>
      <c r="I12" s="1"/>
      <c r="J12" s="1"/>
      <c r="K12" s="1"/>
      <c r="L12" s="1"/>
      <c r="M12" s="1"/>
      <c r="N12" s="19">
        <f t="shared" si="0"/>
        <v>100</v>
      </c>
      <c r="O12" s="16" t="s">
        <v>75</v>
      </c>
    </row>
    <row r="13" spans="1:15">
      <c r="A13" s="1" t="s">
        <v>5</v>
      </c>
      <c r="B13" s="1"/>
      <c r="C13" s="1">
        <v>20</v>
      </c>
      <c r="D13" s="1">
        <v>80</v>
      </c>
      <c r="E13" s="1"/>
      <c r="F13" s="1">
        <v>0</v>
      </c>
      <c r="G13" s="1"/>
      <c r="H13" s="1"/>
      <c r="I13" s="1"/>
      <c r="J13" s="1"/>
      <c r="K13" s="1"/>
      <c r="L13" s="1"/>
      <c r="M13" s="1"/>
      <c r="N13" s="19">
        <f t="shared" si="0"/>
        <v>100</v>
      </c>
      <c r="O13" s="16" t="s">
        <v>78</v>
      </c>
    </row>
    <row r="14" spans="1:15">
      <c r="A14" s="1" t="s">
        <v>6</v>
      </c>
      <c r="B14" s="1"/>
      <c r="C14" s="1">
        <v>90</v>
      </c>
      <c r="D14" s="1">
        <v>10</v>
      </c>
      <c r="E14" s="1"/>
      <c r="F14" s="1"/>
      <c r="G14" s="1"/>
      <c r="H14" s="1"/>
      <c r="I14" s="1"/>
      <c r="J14" s="1"/>
      <c r="K14" s="1"/>
      <c r="L14" s="1"/>
      <c r="M14" s="1"/>
      <c r="N14" s="19">
        <f t="shared" si="0"/>
        <v>100</v>
      </c>
      <c r="O14" s="16" t="s">
        <v>80</v>
      </c>
    </row>
    <row r="15" spans="1:15">
      <c r="A15" s="1" t="s">
        <v>7</v>
      </c>
      <c r="B15" s="1"/>
      <c r="C15" s="1">
        <v>100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9">
        <f t="shared" si="0"/>
        <v>100</v>
      </c>
      <c r="O15" s="16" t="s">
        <v>121</v>
      </c>
    </row>
    <row r="16" spans="1:15">
      <c r="A16" s="1" t="s">
        <v>8</v>
      </c>
      <c r="B16" s="1"/>
      <c r="C16" s="1">
        <v>90</v>
      </c>
      <c r="D16" s="1">
        <v>10</v>
      </c>
      <c r="E16" s="1"/>
      <c r="F16" s="1"/>
      <c r="G16" s="1"/>
      <c r="H16" s="1"/>
      <c r="I16" s="1"/>
      <c r="J16" s="1"/>
      <c r="K16" s="1"/>
      <c r="L16" s="1"/>
      <c r="M16" s="1"/>
      <c r="N16" s="19">
        <f t="shared" si="0"/>
        <v>100</v>
      </c>
      <c r="O16" s="16" t="s">
        <v>81</v>
      </c>
    </row>
    <row r="17" spans="1:15">
      <c r="A17" s="19" t="s">
        <v>9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>
        <f t="shared" si="0"/>
        <v>0</v>
      </c>
      <c r="O17" s="19"/>
    </row>
    <row r="18" spans="1:15">
      <c r="A18" s="19" t="s">
        <v>10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>
        <f t="shared" si="0"/>
        <v>0</v>
      </c>
      <c r="O18" s="19"/>
    </row>
    <row r="19" spans="1:15">
      <c r="A19" s="19" t="s">
        <v>11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>
        <f t="shared" si="0"/>
        <v>0</v>
      </c>
      <c r="O19" s="19"/>
    </row>
    <row r="20" spans="1:15">
      <c r="A20" s="6" t="s">
        <v>12</v>
      </c>
      <c r="B20" s="6">
        <v>50</v>
      </c>
      <c r="C20" s="6">
        <v>50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19">
        <f t="shared" si="0"/>
        <v>100</v>
      </c>
      <c r="O20" s="18" t="s">
        <v>125</v>
      </c>
    </row>
    <row r="21" spans="1:15">
      <c r="A21" s="6" t="s">
        <v>12</v>
      </c>
      <c r="B21" s="6">
        <v>100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19">
        <f t="shared" si="0"/>
        <v>100</v>
      </c>
      <c r="O21" s="16" t="s">
        <v>126</v>
      </c>
    </row>
    <row r="22" spans="1:15">
      <c r="A22" s="1" t="s">
        <v>129</v>
      </c>
      <c r="B22" s="1">
        <v>10</v>
      </c>
      <c r="C22" s="1">
        <v>80</v>
      </c>
      <c r="D22" s="1">
        <v>0</v>
      </c>
      <c r="E22" s="1"/>
      <c r="F22" s="1"/>
      <c r="G22" s="1"/>
      <c r="H22" s="1"/>
      <c r="I22" s="1"/>
      <c r="J22" s="1"/>
      <c r="K22" s="1"/>
      <c r="L22" s="1"/>
      <c r="M22" s="1"/>
      <c r="N22" s="19">
        <f t="shared" si="0"/>
        <v>90</v>
      </c>
      <c r="O22" s="16" t="s">
        <v>82</v>
      </c>
    </row>
    <row r="23" spans="1:15">
      <c r="A23" s="1" t="s">
        <v>130</v>
      </c>
      <c r="B23" s="1">
        <v>80</v>
      </c>
      <c r="C23" s="1">
        <v>0</v>
      </c>
      <c r="D23" s="1">
        <v>0</v>
      </c>
      <c r="E23" s="1"/>
      <c r="F23" s="1">
        <v>0</v>
      </c>
      <c r="G23" s="1"/>
      <c r="H23" s="1"/>
      <c r="I23" s="1"/>
      <c r="J23" s="1"/>
      <c r="K23" s="1"/>
      <c r="L23" s="1"/>
      <c r="M23" s="1"/>
      <c r="N23" s="19">
        <f t="shared" si="0"/>
        <v>80</v>
      </c>
      <c r="O23" s="16" t="s">
        <v>76</v>
      </c>
    </row>
    <row r="24" spans="1:15">
      <c r="A24" s="1" t="s">
        <v>13</v>
      </c>
      <c r="B24" s="1"/>
      <c r="C24" s="1"/>
      <c r="D24" s="1">
        <v>20</v>
      </c>
      <c r="E24" s="1"/>
      <c r="F24" s="1"/>
      <c r="G24" s="1"/>
      <c r="H24" s="1"/>
      <c r="I24" s="1"/>
      <c r="J24" s="1"/>
      <c r="K24" s="1">
        <v>80</v>
      </c>
      <c r="L24" s="1"/>
      <c r="M24" s="1"/>
      <c r="N24" s="19">
        <f t="shared" si="0"/>
        <v>100</v>
      </c>
      <c r="O24" s="16" t="s">
        <v>84</v>
      </c>
    </row>
    <row r="25" spans="1:15">
      <c r="A25" s="19" t="s">
        <v>14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>
        <f t="shared" si="0"/>
        <v>0</v>
      </c>
      <c r="O25" s="19"/>
    </row>
    <row r="26" spans="1:15">
      <c r="A26" s="19" t="s">
        <v>15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>
        <f t="shared" si="0"/>
        <v>0</v>
      </c>
      <c r="O26" s="19"/>
    </row>
    <row r="27" spans="1:15">
      <c r="A27" s="1" t="s">
        <v>16</v>
      </c>
      <c r="B27" s="1"/>
      <c r="C27" s="1">
        <v>80</v>
      </c>
      <c r="D27" s="6">
        <v>0</v>
      </c>
      <c r="E27" s="6"/>
      <c r="F27" s="6">
        <v>10</v>
      </c>
      <c r="G27" s="6"/>
      <c r="H27" s="6">
        <v>10</v>
      </c>
      <c r="I27" s="1"/>
      <c r="J27" s="1"/>
      <c r="K27" s="1"/>
      <c r="L27" s="1"/>
      <c r="M27" s="1"/>
      <c r="N27" s="19">
        <f t="shared" si="0"/>
        <v>100</v>
      </c>
      <c r="O27" s="16" t="s">
        <v>85</v>
      </c>
    </row>
    <row r="28" spans="1:15">
      <c r="A28" s="1" t="s">
        <v>17</v>
      </c>
      <c r="B28" s="1"/>
      <c r="C28" s="1">
        <v>100</v>
      </c>
      <c r="D28" s="1">
        <v>10</v>
      </c>
      <c r="E28" s="1"/>
      <c r="F28" s="1"/>
      <c r="G28" s="1"/>
      <c r="H28" s="1"/>
      <c r="I28" s="1"/>
      <c r="J28" s="1"/>
      <c r="K28" s="1"/>
      <c r="L28" s="1"/>
      <c r="M28" s="1"/>
      <c r="N28" s="19">
        <f t="shared" si="0"/>
        <v>110</v>
      </c>
      <c r="O28" s="16" t="s">
        <v>87</v>
      </c>
    </row>
    <row r="29" spans="1:15">
      <c r="A29" s="1" t="s">
        <v>18</v>
      </c>
      <c r="B29" s="1" t="s">
        <v>73</v>
      </c>
      <c r="C29" s="1" t="s">
        <v>73</v>
      </c>
      <c r="D29" s="1"/>
      <c r="E29" s="1"/>
      <c r="F29" s="1"/>
      <c r="G29" s="1"/>
      <c r="H29" s="1" t="s">
        <v>88</v>
      </c>
      <c r="I29" s="1"/>
      <c r="J29" s="1"/>
      <c r="K29" s="1"/>
      <c r="L29" s="1"/>
      <c r="M29" s="1"/>
      <c r="N29" s="19">
        <f t="shared" si="0"/>
        <v>0</v>
      </c>
      <c r="O29" s="16" t="s">
        <v>89</v>
      </c>
    </row>
    <row r="30" spans="1:15">
      <c r="A30" s="19" t="s">
        <v>19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>
        <f t="shared" si="0"/>
        <v>0</v>
      </c>
      <c r="O30" s="19"/>
    </row>
    <row r="31" spans="1:15">
      <c r="A31" s="6" t="s">
        <v>20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19">
        <f t="shared" si="0"/>
        <v>0</v>
      </c>
      <c r="O31" s="6"/>
    </row>
    <row r="32" spans="1:15">
      <c r="A32" s="1" t="s">
        <v>131</v>
      </c>
      <c r="B32" s="1">
        <v>70</v>
      </c>
      <c r="C32" s="1"/>
      <c r="D32" s="1">
        <v>30</v>
      </c>
      <c r="E32" s="1"/>
      <c r="F32" s="1"/>
      <c r="G32" s="1"/>
      <c r="H32" s="1"/>
      <c r="I32" s="1"/>
      <c r="J32" s="1"/>
      <c r="K32" s="1"/>
      <c r="L32" s="1"/>
      <c r="M32" s="1"/>
      <c r="N32" s="19">
        <f t="shared" si="0"/>
        <v>100</v>
      </c>
      <c r="O32" s="16" t="s">
        <v>77</v>
      </c>
    </row>
    <row r="33" spans="1:15">
      <c r="A33" s="1" t="s">
        <v>131</v>
      </c>
      <c r="B33" s="21">
        <v>10</v>
      </c>
      <c r="C33" s="21">
        <v>90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19">
        <f t="shared" si="0"/>
        <v>100</v>
      </c>
      <c r="O33" s="22"/>
    </row>
    <row r="34" spans="1:15">
      <c r="A34" s="1" t="s">
        <v>131</v>
      </c>
      <c r="B34" s="1">
        <v>100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9">
        <f t="shared" si="0"/>
        <v>100</v>
      </c>
      <c r="O34" s="16" t="s">
        <v>76</v>
      </c>
    </row>
    <row r="35" spans="1:15">
      <c r="A35" s="6" t="s">
        <v>21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>
        <v>100</v>
      </c>
      <c r="M35" s="6"/>
      <c r="N35" s="19">
        <f t="shared" si="0"/>
        <v>100</v>
      </c>
      <c r="O35" s="6"/>
    </row>
    <row r="36" spans="1:15">
      <c r="A36" s="6" t="s">
        <v>21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>
        <v>100</v>
      </c>
      <c r="M36" s="6"/>
      <c r="N36" s="19">
        <f t="shared" si="0"/>
        <v>100</v>
      </c>
      <c r="O36" s="6"/>
    </row>
    <row r="37" spans="1:15">
      <c r="A37" s="6" t="s">
        <v>21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>
        <v>100</v>
      </c>
      <c r="M37" s="6"/>
      <c r="N37" s="19">
        <f t="shared" si="0"/>
        <v>100</v>
      </c>
      <c r="O37" s="16" t="s">
        <v>76</v>
      </c>
    </row>
    <row r="38" spans="1:15">
      <c r="A38" s="6" t="s">
        <v>23</v>
      </c>
      <c r="B38" s="6">
        <v>50</v>
      </c>
      <c r="C38" s="6">
        <v>50</v>
      </c>
      <c r="D38" s="6">
        <v>0</v>
      </c>
      <c r="E38" s="6"/>
      <c r="F38" s="6"/>
      <c r="G38" s="6"/>
      <c r="H38" s="6"/>
      <c r="I38" s="6"/>
      <c r="J38" s="6"/>
      <c r="K38" s="6"/>
      <c r="L38" s="6"/>
      <c r="M38" s="6"/>
      <c r="N38" s="19">
        <f t="shared" si="0"/>
        <v>100</v>
      </c>
      <c r="O38" s="16" t="s">
        <v>97</v>
      </c>
    </row>
    <row r="39" spans="1:15">
      <c r="A39" s="6" t="s">
        <v>24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19">
        <f t="shared" si="0"/>
        <v>0</v>
      </c>
      <c r="O39" s="16"/>
    </row>
    <row r="40" spans="1:15">
      <c r="A40" s="6" t="s">
        <v>133</v>
      </c>
      <c r="B40" s="2">
        <v>20</v>
      </c>
      <c r="C40" s="2"/>
      <c r="D40" s="6">
        <v>50</v>
      </c>
      <c r="E40" s="6"/>
      <c r="F40" s="6"/>
      <c r="G40" s="6"/>
      <c r="H40" s="6"/>
      <c r="I40" s="6"/>
      <c r="J40" s="6"/>
      <c r="K40" s="6">
        <v>30</v>
      </c>
      <c r="L40" s="6"/>
      <c r="M40" s="6"/>
      <c r="N40" s="19">
        <f t="shared" si="0"/>
        <v>100</v>
      </c>
      <c r="O40" s="18" t="s">
        <v>94</v>
      </c>
    </row>
    <row r="41" spans="1:15">
      <c r="A41" s="6" t="s">
        <v>25</v>
      </c>
      <c r="B41" s="6">
        <v>100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19">
        <f t="shared" si="0"/>
        <v>100</v>
      </c>
      <c r="O41" s="16" t="s">
        <v>75</v>
      </c>
    </row>
    <row r="42" spans="1:15">
      <c r="A42" s="6" t="s">
        <v>25</v>
      </c>
      <c r="B42" s="6"/>
      <c r="C42" s="6"/>
      <c r="D42" s="6"/>
      <c r="E42" s="6"/>
      <c r="F42" s="6"/>
      <c r="G42" s="6"/>
      <c r="H42" s="6"/>
      <c r="I42" s="6"/>
      <c r="J42" s="6"/>
      <c r="K42" s="6">
        <v>100</v>
      </c>
      <c r="L42" s="6"/>
      <c r="M42" s="6"/>
      <c r="N42" s="19">
        <f t="shared" si="0"/>
        <v>100</v>
      </c>
      <c r="O42" s="16" t="s">
        <v>84</v>
      </c>
    </row>
    <row r="43" spans="1:15">
      <c r="A43" s="6" t="s">
        <v>25</v>
      </c>
      <c r="B43" s="6">
        <v>100</v>
      </c>
      <c r="C43" s="6">
        <v>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19">
        <f t="shared" si="0"/>
        <v>100</v>
      </c>
      <c r="O43" s="16" t="s">
        <v>75</v>
      </c>
    </row>
    <row r="44" spans="1:15">
      <c r="A44" s="6" t="s">
        <v>26</v>
      </c>
      <c r="B44" s="6">
        <v>80</v>
      </c>
      <c r="C44" s="6">
        <v>0</v>
      </c>
      <c r="D44" s="6">
        <v>0</v>
      </c>
      <c r="E44" s="6">
        <v>0</v>
      </c>
      <c r="F44" s="6"/>
      <c r="G44" s="6"/>
      <c r="H44" s="6"/>
      <c r="I44" s="6"/>
      <c r="J44" s="6"/>
      <c r="K44" s="6">
        <v>20</v>
      </c>
      <c r="L44" s="6"/>
      <c r="M44" s="6"/>
      <c r="N44" s="19">
        <f t="shared" si="0"/>
        <v>100</v>
      </c>
      <c r="O44" s="16" t="s">
        <v>93</v>
      </c>
    </row>
    <row r="45" spans="1:15">
      <c r="A45" s="6" t="s">
        <v>95</v>
      </c>
      <c r="B45" s="6"/>
      <c r="C45" s="6">
        <v>0</v>
      </c>
      <c r="D45" s="6">
        <v>80</v>
      </c>
      <c r="E45" s="6">
        <v>0</v>
      </c>
      <c r="F45" s="6"/>
      <c r="G45" s="6"/>
      <c r="H45" s="6"/>
      <c r="I45" s="6"/>
      <c r="J45" s="6"/>
      <c r="K45" s="6">
        <v>20</v>
      </c>
      <c r="L45" s="6"/>
      <c r="M45" s="6"/>
      <c r="N45" s="19">
        <f t="shared" si="0"/>
        <v>100</v>
      </c>
      <c r="O45" s="16" t="s">
        <v>93</v>
      </c>
    </row>
    <row r="46" spans="1:15">
      <c r="A46" s="6" t="s">
        <v>96</v>
      </c>
      <c r="B46" s="6">
        <v>20</v>
      </c>
      <c r="C46" s="6">
        <v>10</v>
      </c>
      <c r="D46" s="6">
        <v>0</v>
      </c>
      <c r="E46" s="6">
        <v>50</v>
      </c>
      <c r="F46" s="6"/>
      <c r="G46" s="6"/>
      <c r="H46" s="6"/>
      <c r="I46" s="6"/>
      <c r="J46" s="6"/>
      <c r="K46" s="6">
        <v>20</v>
      </c>
      <c r="L46" s="6"/>
      <c r="M46" s="6"/>
      <c r="N46" s="19">
        <f t="shared" si="0"/>
        <v>100</v>
      </c>
      <c r="O46" s="16" t="s">
        <v>93</v>
      </c>
    </row>
    <row r="47" spans="1:15">
      <c r="A47" s="6" t="s">
        <v>27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19">
        <f t="shared" si="0"/>
        <v>0</v>
      </c>
      <c r="O47" s="6"/>
    </row>
    <row r="48" spans="1:15">
      <c r="A48" s="1" t="s">
        <v>134</v>
      </c>
      <c r="B48" s="1">
        <v>100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9">
        <f t="shared" si="0"/>
        <v>100</v>
      </c>
      <c r="O48" s="16" t="s">
        <v>98</v>
      </c>
    </row>
    <row r="49" spans="1:15">
      <c r="A49" s="1" t="s">
        <v>134</v>
      </c>
      <c r="B49" s="1">
        <v>10</v>
      </c>
      <c r="C49" s="1">
        <v>10</v>
      </c>
      <c r="D49" s="1">
        <v>70</v>
      </c>
      <c r="E49" s="1"/>
      <c r="F49" s="1">
        <v>10</v>
      </c>
      <c r="G49" s="1"/>
      <c r="H49" s="1"/>
      <c r="I49" s="1"/>
      <c r="J49" s="1"/>
      <c r="K49" s="1"/>
      <c r="L49" s="1"/>
      <c r="M49" s="1"/>
      <c r="N49" s="19">
        <f t="shared" si="0"/>
        <v>100</v>
      </c>
      <c r="O49" s="16" t="s">
        <v>99</v>
      </c>
    </row>
    <row r="50" spans="1:15">
      <c r="A50" s="1" t="s">
        <v>134</v>
      </c>
      <c r="B50" s="1">
        <v>100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9">
        <f t="shared" si="0"/>
        <v>100</v>
      </c>
      <c r="O50" s="16" t="s">
        <v>99</v>
      </c>
    </row>
    <row r="51" spans="1:15">
      <c r="A51" s="1" t="s">
        <v>135</v>
      </c>
      <c r="B51" s="1">
        <v>100</v>
      </c>
      <c r="C51" s="1">
        <v>0</v>
      </c>
      <c r="D51" s="1"/>
      <c r="E51" s="1"/>
      <c r="F51" s="1">
        <v>0</v>
      </c>
      <c r="G51" s="1"/>
      <c r="H51" s="1"/>
      <c r="I51" s="1"/>
      <c r="J51" s="1"/>
      <c r="K51" s="1"/>
      <c r="L51" s="1"/>
      <c r="M51" s="1"/>
      <c r="N51" s="19">
        <f t="shared" si="0"/>
        <v>100</v>
      </c>
      <c r="O51" s="16" t="s">
        <v>100</v>
      </c>
    </row>
    <row r="52" spans="1:15">
      <c r="A52" s="1" t="s">
        <v>135</v>
      </c>
      <c r="B52" s="1">
        <v>90</v>
      </c>
      <c r="C52" s="1">
        <v>0</v>
      </c>
      <c r="D52" s="1"/>
      <c r="E52" s="1"/>
      <c r="F52" s="1">
        <v>0</v>
      </c>
      <c r="G52" s="1"/>
      <c r="H52" s="1"/>
      <c r="I52" s="1"/>
      <c r="J52" s="1"/>
      <c r="K52" s="1"/>
      <c r="L52" s="1"/>
      <c r="M52" s="1"/>
      <c r="N52" s="19">
        <f t="shared" si="0"/>
        <v>90</v>
      </c>
      <c r="O52" s="16" t="s">
        <v>100</v>
      </c>
    </row>
    <row r="53" spans="1:15">
      <c r="A53" s="19" t="s">
        <v>28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>
        <f t="shared" si="0"/>
        <v>0</v>
      </c>
      <c r="O53" s="19"/>
    </row>
    <row r="54" spans="1:15">
      <c r="A54" s="1" t="s">
        <v>29</v>
      </c>
      <c r="B54" s="1">
        <v>50</v>
      </c>
      <c r="C54" s="1">
        <v>50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9">
        <f t="shared" si="0"/>
        <v>100</v>
      </c>
      <c r="O54" s="16" t="s">
        <v>90</v>
      </c>
    </row>
    <row r="55" spans="1:15">
      <c r="A55" s="1" t="s">
        <v>29</v>
      </c>
      <c r="B55" s="1">
        <v>100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9">
        <f t="shared" si="0"/>
        <v>100</v>
      </c>
      <c r="O55" s="16" t="s">
        <v>119</v>
      </c>
    </row>
    <row r="56" spans="1:15">
      <c r="A56" s="1" t="s">
        <v>30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9">
        <f t="shared" si="0"/>
        <v>0</v>
      </c>
      <c r="O56" s="16"/>
    </row>
    <row r="57" spans="1:15">
      <c r="A57" s="1" t="s">
        <v>136</v>
      </c>
      <c r="B57" s="1"/>
      <c r="C57" s="1">
        <v>100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9">
        <f t="shared" si="0"/>
        <v>100</v>
      </c>
      <c r="O57" s="16" t="s">
        <v>101</v>
      </c>
    </row>
    <row r="58" spans="1:15">
      <c r="A58" s="1" t="s">
        <v>136</v>
      </c>
      <c r="B58" s="1"/>
      <c r="C58" s="1">
        <v>100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9">
        <f t="shared" si="0"/>
        <v>100</v>
      </c>
      <c r="O58" s="16" t="s">
        <v>101</v>
      </c>
    </row>
    <row r="59" spans="1:15">
      <c r="A59" s="1" t="s">
        <v>136</v>
      </c>
      <c r="B59" s="1"/>
      <c r="C59" s="1">
        <v>100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9">
        <f t="shared" si="0"/>
        <v>100</v>
      </c>
      <c r="O59" s="16" t="s">
        <v>101</v>
      </c>
    </row>
    <row r="60" spans="1:15">
      <c r="A60" s="1" t="s">
        <v>31</v>
      </c>
      <c r="B60" s="1"/>
      <c r="C60" s="1"/>
      <c r="D60" s="1" t="s">
        <v>73</v>
      </c>
      <c r="E60" s="1"/>
      <c r="F60" s="1"/>
      <c r="G60" s="1"/>
      <c r="H60" s="1"/>
      <c r="I60" s="1"/>
      <c r="J60" s="1"/>
      <c r="K60" s="1"/>
      <c r="L60" s="1"/>
      <c r="M60" s="1"/>
      <c r="N60" s="19">
        <f t="shared" si="0"/>
        <v>0</v>
      </c>
      <c r="O60" s="16" t="s">
        <v>122</v>
      </c>
    </row>
    <row r="61" spans="1:15">
      <c r="A61" s="1" t="s">
        <v>32</v>
      </c>
      <c r="B61" s="1"/>
      <c r="C61" s="1"/>
      <c r="D61" s="1">
        <v>100</v>
      </c>
      <c r="E61" s="1"/>
      <c r="F61" s="1"/>
      <c r="G61" s="1"/>
      <c r="H61" s="1"/>
      <c r="I61" s="1"/>
      <c r="J61" s="1"/>
      <c r="K61" s="1"/>
      <c r="L61" s="1"/>
      <c r="M61" s="1">
        <v>0</v>
      </c>
      <c r="N61" s="19">
        <f t="shared" si="0"/>
        <v>100</v>
      </c>
      <c r="O61" s="16" t="s">
        <v>102</v>
      </c>
    </row>
    <row r="62" spans="1:15">
      <c r="A62" s="19" t="s">
        <v>33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>
        <f t="shared" si="0"/>
        <v>0</v>
      </c>
      <c r="O62" s="19"/>
    </row>
    <row r="63" spans="1:15">
      <c r="A63" s="1" t="s">
        <v>34</v>
      </c>
      <c r="B63" s="1"/>
      <c r="C63" s="1">
        <v>80</v>
      </c>
      <c r="D63" s="1">
        <v>20</v>
      </c>
      <c r="E63" s="1"/>
      <c r="F63" s="1"/>
      <c r="G63" s="1"/>
      <c r="H63" s="1"/>
      <c r="I63" s="1"/>
      <c r="J63" s="1"/>
      <c r="K63" s="1"/>
      <c r="L63" s="1"/>
      <c r="M63" s="1"/>
      <c r="N63" s="19">
        <f t="shared" si="0"/>
        <v>100</v>
      </c>
      <c r="O63" s="16" t="s">
        <v>84</v>
      </c>
    </row>
    <row r="64" spans="1:15">
      <c r="A64" s="1" t="s">
        <v>137</v>
      </c>
      <c r="B64" s="1"/>
      <c r="C64" s="1"/>
      <c r="D64" s="1">
        <v>40</v>
      </c>
      <c r="E64" s="1"/>
      <c r="F64" s="1"/>
      <c r="G64" s="1"/>
      <c r="H64" s="1"/>
      <c r="I64" s="1"/>
      <c r="J64" s="1"/>
      <c r="K64" s="1"/>
      <c r="L64" s="1"/>
      <c r="M64" s="1"/>
      <c r="N64" s="19">
        <f t="shared" si="0"/>
        <v>40</v>
      </c>
      <c r="O64" s="16" t="s">
        <v>84</v>
      </c>
    </row>
    <row r="65" spans="1:15">
      <c r="A65" s="1" t="s">
        <v>35</v>
      </c>
      <c r="B65" s="1">
        <v>30</v>
      </c>
      <c r="C65" s="1"/>
      <c r="D65" s="1">
        <v>10</v>
      </c>
      <c r="E65" s="1"/>
      <c r="F65" s="1">
        <v>10</v>
      </c>
      <c r="G65" s="1"/>
      <c r="H65" s="1">
        <v>50</v>
      </c>
      <c r="I65" s="1"/>
      <c r="J65" s="1"/>
      <c r="K65" s="1"/>
      <c r="L65" s="1"/>
      <c r="M65" s="1"/>
      <c r="N65" s="19">
        <f t="shared" si="0"/>
        <v>100</v>
      </c>
      <c r="O65" s="16" t="s">
        <v>76</v>
      </c>
    </row>
    <row r="66" spans="1:15">
      <c r="A66" s="1" t="s">
        <v>35</v>
      </c>
      <c r="B66" s="1"/>
      <c r="C66" s="1">
        <v>50</v>
      </c>
      <c r="D66" s="1"/>
      <c r="E66" s="1"/>
      <c r="F66" s="1"/>
      <c r="G66" s="1"/>
      <c r="H66" s="1"/>
      <c r="I66" s="1">
        <v>50</v>
      </c>
      <c r="J66" s="1"/>
      <c r="K66" s="1"/>
      <c r="L66" s="1"/>
      <c r="M66" s="1"/>
      <c r="N66" s="19">
        <f t="shared" si="0"/>
        <v>100</v>
      </c>
      <c r="O66" s="16" t="s">
        <v>128</v>
      </c>
    </row>
    <row r="67" spans="1:15">
      <c r="A67" s="1" t="s">
        <v>35</v>
      </c>
      <c r="B67" s="1">
        <v>30</v>
      </c>
      <c r="C67" s="1"/>
      <c r="D67" s="1">
        <v>50</v>
      </c>
      <c r="E67" s="1"/>
      <c r="F67" s="1"/>
      <c r="G67" s="1"/>
      <c r="H67" s="1"/>
      <c r="I67" s="1"/>
      <c r="J67" s="1"/>
      <c r="K67" s="1">
        <v>20</v>
      </c>
      <c r="L67" s="1"/>
      <c r="M67" s="1"/>
      <c r="N67" s="19">
        <f t="shared" si="0"/>
        <v>100</v>
      </c>
      <c r="O67" s="16" t="s">
        <v>98</v>
      </c>
    </row>
    <row r="68" spans="1:15">
      <c r="A68" s="1" t="s">
        <v>138</v>
      </c>
      <c r="B68" s="1">
        <v>30</v>
      </c>
      <c r="C68" s="1"/>
      <c r="D68" s="1">
        <v>30</v>
      </c>
      <c r="E68" s="1"/>
      <c r="F68" s="1"/>
      <c r="G68" s="1"/>
      <c r="H68" s="1"/>
      <c r="I68" s="1"/>
      <c r="J68" s="1"/>
      <c r="K68" s="1">
        <v>30</v>
      </c>
      <c r="L68" s="1"/>
      <c r="M68" s="1"/>
      <c r="N68" s="19">
        <f t="shared" ref="N68:N89" si="1">SUM(B68:M68)</f>
        <v>90</v>
      </c>
      <c r="O68" s="16" t="s">
        <v>103</v>
      </c>
    </row>
    <row r="69" spans="1:15">
      <c r="A69" s="1" t="s">
        <v>139</v>
      </c>
      <c r="B69" s="1">
        <v>30</v>
      </c>
      <c r="C69" s="1"/>
      <c r="D69" s="1">
        <v>30</v>
      </c>
      <c r="E69" s="1"/>
      <c r="F69" s="1"/>
      <c r="G69" s="1"/>
      <c r="H69" s="1"/>
      <c r="I69" s="1"/>
      <c r="J69" s="1"/>
      <c r="K69" s="1">
        <v>30</v>
      </c>
      <c r="L69" s="1"/>
      <c r="M69" s="1"/>
      <c r="N69" s="19">
        <f t="shared" si="1"/>
        <v>90</v>
      </c>
      <c r="O69" s="16" t="s">
        <v>103</v>
      </c>
    </row>
    <row r="70" spans="1:15">
      <c r="A70" s="1" t="s">
        <v>140</v>
      </c>
      <c r="B70" s="1">
        <v>30</v>
      </c>
      <c r="C70" s="1"/>
      <c r="D70" s="1">
        <v>30</v>
      </c>
      <c r="E70" s="1"/>
      <c r="F70" s="1"/>
      <c r="G70" s="1"/>
      <c r="H70" s="1"/>
      <c r="I70" s="1"/>
      <c r="J70" s="1"/>
      <c r="K70" s="1">
        <v>30</v>
      </c>
      <c r="L70" s="1"/>
      <c r="M70" s="1"/>
      <c r="N70" s="19">
        <f t="shared" si="1"/>
        <v>90</v>
      </c>
      <c r="O70" s="16" t="s">
        <v>103</v>
      </c>
    </row>
    <row r="71" spans="1:15">
      <c r="A71" s="1" t="s">
        <v>142</v>
      </c>
      <c r="B71" s="1">
        <v>80</v>
      </c>
      <c r="C71" s="1"/>
      <c r="D71" s="1">
        <v>10</v>
      </c>
      <c r="E71" s="1"/>
      <c r="F71" s="1"/>
      <c r="G71" s="1"/>
      <c r="H71" s="1"/>
      <c r="I71" s="1"/>
      <c r="J71" s="1"/>
      <c r="K71" s="1">
        <v>10</v>
      </c>
      <c r="L71" s="1"/>
      <c r="M71" s="1"/>
      <c r="N71" s="19">
        <f t="shared" si="1"/>
        <v>100</v>
      </c>
      <c r="O71" s="16" t="s">
        <v>104</v>
      </c>
    </row>
    <row r="72" spans="1:15">
      <c r="A72" s="1" t="s">
        <v>141</v>
      </c>
      <c r="B72" s="1">
        <v>20</v>
      </c>
      <c r="C72" s="1">
        <v>60</v>
      </c>
      <c r="D72" s="1">
        <v>10</v>
      </c>
      <c r="E72" s="1"/>
      <c r="F72" s="1">
        <v>10</v>
      </c>
      <c r="G72" s="1"/>
      <c r="H72" s="1"/>
      <c r="I72" s="1"/>
      <c r="J72" s="1"/>
      <c r="K72" s="1"/>
      <c r="L72" s="1"/>
      <c r="M72" s="1"/>
      <c r="N72" s="19">
        <f t="shared" si="1"/>
        <v>100</v>
      </c>
      <c r="O72" s="16" t="s">
        <v>92</v>
      </c>
    </row>
    <row r="73" spans="1:15">
      <c r="A73" s="1" t="s">
        <v>142</v>
      </c>
      <c r="B73" s="1">
        <v>90</v>
      </c>
      <c r="C73" s="1">
        <v>0</v>
      </c>
      <c r="D73" s="1"/>
      <c r="E73" s="1"/>
      <c r="F73" s="1">
        <v>10</v>
      </c>
      <c r="G73" s="1"/>
      <c r="H73" s="1"/>
      <c r="I73" s="1"/>
      <c r="J73" s="1"/>
      <c r="K73" s="1"/>
      <c r="L73" s="1"/>
      <c r="M73" s="1"/>
      <c r="N73" s="19">
        <f t="shared" si="1"/>
        <v>100</v>
      </c>
      <c r="O73" s="16" t="s">
        <v>115</v>
      </c>
    </row>
    <row r="74" spans="1:15">
      <c r="A74" s="1" t="s">
        <v>143</v>
      </c>
      <c r="B74" s="1"/>
      <c r="C74" s="1"/>
      <c r="D74" s="1">
        <v>50</v>
      </c>
      <c r="E74" s="1"/>
      <c r="F74" s="1"/>
      <c r="G74" s="1"/>
      <c r="H74" s="1"/>
      <c r="I74" s="1">
        <v>50</v>
      </c>
      <c r="J74" s="1"/>
      <c r="K74" s="1"/>
      <c r="L74" s="1"/>
      <c r="M74" s="1"/>
      <c r="N74" s="19">
        <f t="shared" si="1"/>
        <v>100</v>
      </c>
      <c r="O74" s="16" t="s">
        <v>123</v>
      </c>
    </row>
    <row r="75" spans="1:15">
      <c r="A75" s="1" t="s">
        <v>144</v>
      </c>
      <c r="B75" s="1"/>
      <c r="C75" s="1">
        <v>30</v>
      </c>
      <c r="D75" s="1">
        <v>70</v>
      </c>
      <c r="E75" s="1"/>
      <c r="F75" s="1">
        <v>0</v>
      </c>
      <c r="G75" s="1"/>
      <c r="H75" s="1"/>
      <c r="I75" s="1"/>
      <c r="J75" s="1"/>
      <c r="K75" s="1"/>
      <c r="L75" s="1"/>
      <c r="M75" s="1"/>
      <c r="N75" s="19">
        <f t="shared" si="1"/>
        <v>100</v>
      </c>
      <c r="O75" s="16" t="s">
        <v>105</v>
      </c>
    </row>
    <row r="76" spans="1:15">
      <c r="A76" s="1" t="s">
        <v>37</v>
      </c>
      <c r="B76" s="1"/>
      <c r="C76" s="1"/>
      <c r="D76" s="1">
        <v>0</v>
      </c>
      <c r="E76" s="1"/>
      <c r="F76" s="1"/>
      <c r="G76" s="1"/>
      <c r="H76" s="1"/>
      <c r="I76" s="1"/>
      <c r="J76" s="1"/>
      <c r="K76" s="1"/>
      <c r="L76" s="1"/>
      <c r="M76" s="1"/>
      <c r="N76" s="19">
        <f t="shared" si="1"/>
        <v>0</v>
      </c>
      <c r="O76" s="16" t="s">
        <v>107</v>
      </c>
    </row>
    <row r="77" spans="1:15">
      <c r="A77" s="1" t="s">
        <v>145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>
        <f t="shared" si="1"/>
        <v>0</v>
      </c>
      <c r="O77" s="19"/>
    </row>
    <row r="78" spans="1:15">
      <c r="A78" s="19" t="s">
        <v>38</v>
      </c>
      <c r="B78" s="1">
        <v>100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9">
        <f t="shared" si="1"/>
        <v>100</v>
      </c>
      <c r="O78" s="16" t="s">
        <v>119</v>
      </c>
    </row>
    <row r="79" spans="1:15">
      <c r="A79" s="1" t="s">
        <v>39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>
        <f t="shared" si="1"/>
        <v>0</v>
      </c>
      <c r="O79" s="19"/>
    </row>
    <row r="80" spans="1:15">
      <c r="A80" s="19" t="s">
        <v>146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>
        <f t="shared" si="1"/>
        <v>0</v>
      </c>
      <c r="O80" s="19"/>
    </row>
    <row r="81" spans="1:15">
      <c r="A81" s="19" t="s">
        <v>40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>
        <v>100</v>
      </c>
      <c r="M81" s="1"/>
      <c r="N81" s="19">
        <f t="shared" si="1"/>
        <v>100</v>
      </c>
      <c r="O81" s="16" t="s">
        <v>90</v>
      </c>
    </row>
    <row r="82" spans="1:15">
      <c r="A82" s="1" t="s">
        <v>41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>
        <v>100</v>
      </c>
      <c r="M82" s="1"/>
      <c r="N82" s="19">
        <f t="shared" si="1"/>
        <v>100</v>
      </c>
      <c r="O82" s="16" t="s">
        <v>90</v>
      </c>
    </row>
    <row r="83" spans="1:15">
      <c r="A83" s="1" t="s">
        <v>42</v>
      </c>
      <c r="B83" s="1"/>
      <c r="C83" s="1">
        <v>90</v>
      </c>
      <c r="D83" s="1">
        <v>0</v>
      </c>
      <c r="E83" s="1"/>
      <c r="F83" s="1">
        <v>0</v>
      </c>
      <c r="G83" s="1"/>
      <c r="H83" s="1"/>
      <c r="I83" s="1"/>
      <c r="J83" s="1"/>
      <c r="K83" s="1"/>
      <c r="L83" s="1"/>
      <c r="M83" s="1"/>
      <c r="N83" s="19">
        <f t="shared" si="1"/>
        <v>90</v>
      </c>
      <c r="O83" s="16" t="s">
        <v>109</v>
      </c>
    </row>
    <row r="84" spans="1:15">
      <c r="A84" s="1" t="s">
        <v>43</v>
      </c>
      <c r="B84" s="1"/>
      <c r="C84" s="1">
        <v>90</v>
      </c>
      <c r="D84" s="1">
        <v>10</v>
      </c>
      <c r="E84" s="1"/>
      <c r="F84" s="1"/>
      <c r="G84" s="1"/>
      <c r="H84" s="1"/>
      <c r="I84" s="1"/>
      <c r="J84" s="1"/>
      <c r="K84" s="1"/>
      <c r="L84" s="1"/>
      <c r="M84" s="1"/>
      <c r="N84" s="19">
        <f t="shared" si="1"/>
        <v>100</v>
      </c>
      <c r="O84" s="16" t="s">
        <v>110</v>
      </c>
    </row>
    <row r="85" spans="1:15">
      <c r="A85" s="1" t="s">
        <v>44</v>
      </c>
      <c r="B85" s="1">
        <v>50</v>
      </c>
      <c r="C85" s="1"/>
      <c r="D85" s="1">
        <v>30</v>
      </c>
      <c r="E85" s="1"/>
      <c r="F85" s="1">
        <v>10</v>
      </c>
      <c r="G85" s="1"/>
      <c r="H85" s="1"/>
      <c r="I85" s="1"/>
      <c r="J85" s="1"/>
      <c r="K85" s="1">
        <v>10</v>
      </c>
      <c r="L85" s="1"/>
      <c r="M85" s="1"/>
      <c r="N85" s="19">
        <f t="shared" si="1"/>
        <v>100</v>
      </c>
      <c r="O85" s="16" t="s">
        <v>106</v>
      </c>
    </row>
    <row r="86" spans="1:15">
      <c r="A86" s="1" t="s">
        <v>44</v>
      </c>
      <c r="B86" s="1">
        <v>40</v>
      </c>
      <c r="C86" s="1">
        <v>0</v>
      </c>
      <c r="D86" s="1">
        <v>40</v>
      </c>
      <c r="E86" s="1"/>
      <c r="F86" s="1">
        <v>0</v>
      </c>
      <c r="G86" s="1"/>
      <c r="H86" s="1"/>
      <c r="I86" s="1"/>
      <c r="J86" s="1"/>
      <c r="K86" s="1">
        <v>10</v>
      </c>
      <c r="L86" s="1"/>
      <c r="M86" s="1"/>
      <c r="N86" s="19">
        <f t="shared" si="1"/>
        <v>90</v>
      </c>
      <c r="O86" s="16" t="s">
        <v>106</v>
      </c>
    </row>
    <row r="87" spans="1:15">
      <c r="A87" s="1" t="s">
        <v>44</v>
      </c>
      <c r="B87" s="1">
        <v>20</v>
      </c>
      <c r="C87" s="1">
        <v>0</v>
      </c>
      <c r="D87" s="1">
        <v>50</v>
      </c>
      <c r="E87" s="1"/>
      <c r="F87" s="1">
        <v>10</v>
      </c>
      <c r="G87" s="1"/>
      <c r="H87" s="1"/>
      <c r="I87" s="1"/>
      <c r="J87" s="1"/>
      <c r="K87" s="1">
        <v>10</v>
      </c>
      <c r="L87" s="1"/>
      <c r="M87" s="1"/>
      <c r="N87" s="19">
        <f t="shared" si="1"/>
        <v>90</v>
      </c>
      <c r="O87" s="16" t="s">
        <v>106</v>
      </c>
    </row>
    <row r="88" spans="1:15">
      <c r="A88" s="1" t="s">
        <v>44</v>
      </c>
      <c r="B88" s="1">
        <v>30</v>
      </c>
      <c r="C88" s="1">
        <v>10</v>
      </c>
      <c r="D88" s="1">
        <v>40</v>
      </c>
      <c r="E88" s="1"/>
      <c r="F88" s="1">
        <v>10</v>
      </c>
      <c r="G88" s="1"/>
      <c r="H88" s="1"/>
      <c r="I88" s="1"/>
      <c r="J88" s="1"/>
      <c r="K88" s="1">
        <v>10</v>
      </c>
      <c r="L88" s="1"/>
      <c r="M88" s="1"/>
      <c r="N88" s="19">
        <f t="shared" si="1"/>
        <v>100</v>
      </c>
      <c r="O88" s="16" t="s">
        <v>106</v>
      </c>
    </row>
    <row r="89" spans="1:15">
      <c r="A89" s="1" t="s">
        <v>44</v>
      </c>
      <c r="B89" s="1">
        <v>50</v>
      </c>
      <c r="C89" s="1"/>
      <c r="D89" s="1">
        <v>30</v>
      </c>
      <c r="E89" s="1"/>
      <c r="F89" s="1">
        <v>10</v>
      </c>
      <c r="G89" s="1"/>
      <c r="H89" s="1"/>
      <c r="I89" s="1"/>
      <c r="J89" s="1"/>
      <c r="K89" s="1">
        <v>10</v>
      </c>
      <c r="L89" s="1"/>
      <c r="M89" s="1"/>
      <c r="N89" s="19">
        <f t="shared" si="1"/>
        <v>100</v>
      </c>
      <c r="O89" s="16" t="s">
        <v>106</v>
      </c>
    </row>
    <row r="90" spans="1:15">
      <c r="A90" s="19" t="s">
        <v>45</v>
      </c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>
        <f t="shared" ref="N90:N123" si="2">SUM(B90:M90)</f>
        <v>0</v>
      </c>
      <c r="O90" s="19"/>
    </row>
    <row r="91" spans="1:15">
      <c r="A91" s="1" t="s">
        <v>46</v>
      </c>
      <c r="B91" s="1">
        <v>100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9">
        <f t="shared" si="2"/>
        <v>100</v>
      </c>
      <c r="O91" s="16" t="s">
        <v>111</v>
      </c>
    </row>
    <row r="92" spans="1:15">
      <c r="A92" s="1" t="s">
        <v>148</v>
      </c>
      <c r="B92" s="1"/>
      <c r="C92" s="1">
        <v>30</v>
      </c>
      <c r="D92" s="1">
        <v>30</v>
      </c>
      <c r="E92" s="1"/>
      <c r="F92" s="1">
        <v>30</v>
      </c>
      <c r="G92" s="1">
        <v>30</v>
      </c>
      <c r="H92" s="1"/>
      <c r="I92" s="1"/>
      <c r="J92" s="1"/>
      <c r="K92" s="1"/>
      <c r="L92" s="1"/>
      <c r="M92" s="1"/>
      <c r="N92" s="19">
        <f t="shared" si="2"/>
        <v>120</v>
      </c>
      <c r="O92" s="16" t="s">
        <v>113</v>
      </c>
    </row>
    <row r="93" spans="1:15">
      <c r="A93" s="11" t="s">
        <v>47</v>
      </c>
      <c r="B93" s="11"/>
      <c r="C93" s="11"/>
      <c r="D93" s="11"/>
      <c r="E93" s="11"/>
      <c r="F93" s="11"/>
      <c r="G93" s="11"/>
      <c r="H93" s="1"/>
      <c r="I93" s="11"/>
      <c r="J93" s="11"/>
      <c r="K93" s="11"/>
      <c r="L93" s="11"/>
      <c r="M93" s="11"/>
      <c r="N93" s="19">
        <f t="shared" si="2"/>
        <v>0</v>
      </c>
      <c r="O93" s="11"/>
    </row>
    <row r="94" spans="1:15">
      <c r="A94" s="19" t="s">
        <v>48</v>
      </c>
      <c r="B94" s="19"/>
      <c r="C94" s="19"/>
      <c r="D94" s="19"/>
      <c r="E94" s="19"/>
      <c r="F94" s="19"/>
      <c r="G94" s="19"/>
      <c r="H94" s="19"/>
      <c r="I94" s="19" t="s">
        <v>73</v>
      </c>
      <c r="J94" s="19"/>
      <c r="K94" s="19"/>
      <c r="L94" s="19"/>
      <c r="M94" s="19"/>
      <c r="N94" s="19">
        <f t="shared" si="2"/>
        <v>0</v>
      </c>
      <c r="O94" s="19"/>
    </row>
    <row r="95" spans="1:15">
      <c r="A95" s="19" t="s">
        <v>49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>
        <f t="shared" si="2"/>
        <v>0</v>
      </c>
      <c r="O95" s="19"/>
    </row>
    <row r="96" spans="1:15">
      <c r="A96" s="6" t="s">
        <v>50</v>
      </c>
      <c r="B96" s="6">
        <v>10</v>
      </c>
      <c r="C96" s="6">
        <v>0</v>
      </c>
      <c r="D96" s="6">
        <v>10</v>
      </c>
      <c r="E96" s="6"/>
      <c r="F96" s="6">
        <v>0</v>
      </c>
      <c r="G96" s="6"/>
      <c r="H96" s="6"/>
      <c r="I96" s="6">
        <v>80</v>
      </c>
      <c r="J96" s="6"/>
      <c r="K96" s="6">
        <v>0</v>
      </c>
      <c r="L96" s="6"/>
      <c r="M96" s="6"/>
      <c r="N96" s="19">
        <f t="shared" si="2"/>
        <v>100</v>
      </c>
      <c r="O96" s="16" t="s">
        <v>123</v>
      </c>
    </row>
    <row r="97" spans="1:15">
      <c r="A97" s="6" t="s">
        <v>51</v>
      </c>
      <c r="B97" s="6"/>
      <c r="C97" s="6"/>
      <c r="D97" s="6" t="s">
        <v>73</v>
      </c>
      <c r="E97" s="6"/>
      <c r="F97" s="6"/>
      <c r="G97" s="6"/>
      <c r="H97" s="6"/>
      <c r="I97" s="6"/>
      <c r="J97" s="6"/>
      <c r="K97" s="6"/>
      <c r="L97" s="6"/>
      <c r="M97" s="6"/>
      <c r="N97" s="19">
        <f t="shared" si="2"/>
        <v>0</v>
      </c>
      <c r="O97" s="16" t="s">
        <v>122</v>
      </c>
    </row>
    <row r="98" spans="1:15">
      <c r="A98" s="6" t="s">
        <v>51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19">
        <f t="shared" si="2"/>
        <v>0</v>
      </c>
      <c r="O98" s="16" t="s">
        <v>127</v>
      </c>
    </row>
    <row r="99" spans="1:15">
      <c r="A99" s="19" t="s">
        <v>52</v>
      </c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>
        <f t="shared" si="2"/>
        <v>0</v>
      </c>
      <c r="O99" s="19"/>
    </row>
    <row r="100" spans="1:15">
      <c r="A100" s="1" t="s">
        <v>53</v>
      </c>
      <c r="B100" s="1"/>
      <c r="C100" s="1">
        <v>60</v>
      </c>
      <c r="D100" s="1"/>
      <c r="E100" s="1"/>
      <c r="F100" s="1"/>
      <c r="G100" s="1"/>
      <c r="H100" s="2"/>
      <c r="I100" s="1"/>
      <c r="J100" s="1"/>
      <c r="K100" s="1">
        <v>40</v>
      </c>
      <c r="L100" s="1"/>
      <c r="M100" s="1"/>
      <c r="N100" s="19">
        <f t="shared" si="2"/>
        <v>100</v>
      </c>
      <c r="O100" s="16" t="s">
        <v>114</v>
      </c>
    </row>
    <row r="101" spans="1:15">
      <c r="A101" s="1" t="s">
        <v>147</v>
      </c>
      <c r="B101" s="1"/>
      <c r="C101" s="1"/>
      <c r="D101" s="1">
        <v>100</v>
      </c>
      <c r="E101" s="1"/>
      <c r="F101" s="1"/>
      <c r="G101" s="1"/>
      <c r="H101" s="2"/>
      <c r="I101" s="1"/>
      <c r="J101" s="1"/>
      <c r="K101" s="1"/>
      <c r="L101" s="1"/>
      <c r="M101" s="1"/>
      <c r="N101" s="19">
        <f t="shared" si="2"/>
        <v>100</v>
      </c>
      <c r="O101" s="16" t="s">
        <v>119</v>
      </c>
    </row>
    <row r="102" spans="1:15">
      <c r="A102" s="1" t="s">
        <v>147</v>
      </c>
      <c r="B102" s="1">
        <v>40</v>
      </c>
      <c r="C102" s="1">
        <v>60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9">
        <f t="shared" si="2"/>
        <v>100</v>
      </c>
      <c r="O102" s="16" t="s">
        <v>92</v>
      </c>
    </row>
    <row r="103" spans="1:15">
      <c r="A103" s="1" t="s">
        <v>147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9">
        <f t="shared" si="2"/>
        <v>0</v>
      </c>
      <c r="O103" s="16" t="s">
        <v>119</v>
      </c>
    </row>
    <row r="104" spans="1:15">
      <c r="A104" s="1" t="s">
        <v>54</v>
      </c>
      <c r="B104" s="1">
        <v>10</v>
      </c>
      <c r="C104" s="1">
        <v>80</v>
      </c>
      <c r="D104" s="1">
        <v>10</v>
      </c>
      <c r="E104" s="1"/>
      <c r="F104" s="1">
        <v>0</v>
      </c>
      <c r="G104" s="1"/>
      <c r="H104" s="1"/>
      <c r="I104" s="1"/>
      <c r="J104" s="1"/>
      <c r="K104" s="1"/>
      <c r="L104" s="1"/>
      <c r="M104" s="1"/>
      <c r="N104" s="19">
        <f t="shared" si="2"/>
        <v>100</v>
      </c>
      <c r="O104" s="16" t="s">
        <v>76</v>
      </c>
    </row>
    <row r="105" spans="1:15">
      <c r="A105" s="1" t="s">
        <v>54</v>
      </c>
      <c r="B105" s="1">
        <v>50</v>
      </c>
      <c r="C105" s="1"/>
      <c r="D105" s="1"/>
      <c r="E105" s="1"/>
      <c r="F105" s="1">
        <v>50</v>
      </c>
      <c r="G105" s="1"/>
      <c r="H105" s="1"/>
      <c r="I105" s="1"/>
      <c r="J105" s="1"/>
      <c r="K105" s="1"/>
      <c r="L105" s="1"/>
      <c r="M105" s="1"/>
      <c r="N105" s="19">
        <f t="shared" si="2"/>
        <v>100</v>
      </c>
      <c r="O105" s="16" t="s">
        <v>115</v>
      </c>
    </row>
    <row r="106" spans="1:15">
      <c r="A106" s="19" t="s">
        <v>55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>
        <f t="shared" si="2"/>
        <v>0</v>
      </c>
      <c r="O106" s="19"/>
    </row>
    <row r="107" spans="1:15">
      <c r="A107" s="1" t="s">
        <v>56</v>
      </c>
      <c r="B107" s="1"/>
      <c r="C107" s="1"/>
      <c r="D107" s="1"/>
      <c r="E107" s="1"/>
      <c r="F107" s="1"/>
      <c r="G107" s="1"/>
      <c r="H107" s="2"/>
      <c r="I107" s="1"/>
      <c r="J107" s="1"/>
      <c r="K107" s="1"/>
      <c r="L107" s="1"/>
      <c r="M107" s="1"/>
      <c r="N107" s="19">
        <f t="shared" si="2"/>
        <v>0</v>
      </c>
      <c r="O107" s="1"/>
    </row>
    <row r="108" spans="1:15">
      <c r="A108" s="1" t="s">
        <v>149</v>
      </c>
      <c r="B108" s="1">
        <v>50</v>
      </c>
      <c r="C108" s="1">
        <v>30</v>
      </c>
      <c r="D108" s="1"/>
      <c r="E108" s="1"/>
      <c r="F108" s="1">
        <v>10</v>
      </c>
      <c r="G108" s="1"/>
      <c r="H108" s="1"/>
      <c r="I108" s="1"/>
      <c r="J108" s="1"/>
      <c r="K108" s="1"/>
      <c r="L108" s="1"/>
      <c r="M108" s="1">
        <v>10</v>
      </c>
      <c r="N108" s="19">
        <f t="shared" si="2"/>
        <v>100</v>
      </c>
      <c r="O108" s="16" t="s">
        <v>92</v>
      </c>
    </row>
    <row r="109" spans="1:15">
      <c r="A109" s="1" t="s">
        <v>150</v>
      </c>
      <c r="B109" s="1"/>
      <c r="C109" s="1">
        <v>90</v>
      </c>
      <c r="D109" s="1"/>
      <c r="E109" s="1"/>
      <c r="F109" s="1">
        <v>10</v>
      </c>
      <c r="G109" s="1"/>
      <c r="H109" s="1"/>
      <c r="I109" s="1"/>
      <c r="J109" s="1"/>
      <c r="K109" s="1"/>
      <c r="L109" s="1"/>
      <c r="M109" s="1"/>
      <c r="N109" s="19">
        <f t="shared" si="2"/>
        <v>100</v>
      </c>
      <c r="O109" s="16" t="s">
        <v>117</v>
      </c>
    </row>
    <row r="110" spans="1:15">
      <c r="A110" s="1" t="s">
        <v>57</v>
      </c>
      <c r="B110" s="1">
        <v>100</v>
      </c>
      <c r="C110" s="1">
        <v>0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9">
        <f t="shared" si="2"/>
        <v>100</v>
      </c>
      <c r="O110" s="16" t="s">
        <v>76</v>
      </c>
    </row>
    <row r="111" spans="1:15">
      <c r="A111" s="1" t="s">
        <v>58</v>
      </c>
      <c r="B111" s="1">
        <v>100</v>
      </c>
      <c r="C111" s="1"/>
      <c r="D111" s="1"/>
      <c r="E111" s="1">
        <v>7.0000000000000007E-2</v>
      </c>
      <c r="F111" s="1"/>
      <c r="G111" s="1"/>
      <c r="H111" s="1"/>
      <c r="I111" s="1"/>
      <c r="J111" s="1"/>
      <c r="K111" s="1">
        <v>0</v>
      </c>
      <c r="L111" s="1"/>
      <c r="M111" s="1"/>
      <c r="N111" s="19">
        <f t="shared" si="2"/>
        <v>100.07</v>
      </c>
      <c r="O111" s="16" t="s">
        <v>93</v>
      </c>
    </row>
    <row r="112" spans="1:15">
      <c r="A112" s="1" t="s">
        <v>59</v>
      </c>
      <c r="B112" s="1"/>
      <c r="C112" s="1">
        <v>70</v>
      </c>
      <c r="D112" s="1">
        <v>10</v>
      </c>
      <c r="E112" s="1"/>
      <c r="F112" s="1">
        <v>10</v>
      </c>
      <c r="G112" s="1"/>
      <c r="H112" s="1"/>
      <c r="I112" s="1"/>
      <c r="J112" s="1"/>
      <c r="K112" s="1">
        <v>10</v>
      </c>
      <c r="L112" s="1"/>
      <c r="M112" s="1"/>
      <c r="N112" s="19">
        <f t="shared" si="2"/>
        <v>100</v>
      </c>
      <c r="O112" s="16" t="s">
        <v>85</v>
      </c>
    </row>
    <row r="113" spans="1:16">
      <c r="A113" s="1" t="s">
        <v>59</v>
      </c>
      <c r="B113" s="1">
        <v>100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9">
        <f t="shared" si="2"/>
        <v>100</v>
      </c>
      <c r="O113" s="16" t="s">
        <v>119</v>
      </c>
    </row>
    <row r="114" spans="1:16">
      <c r="A114" s="1" t="s">
        <v>153</v>
      </c>
      <c r="B114" s="1">
        <v>100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9">
        <f t="shared" si="2"/>
        <v>100</v>
      </c>
      <c r="O114" s="16" t="s">
        <v>119</v>
      </c>
    </row>
    <row r="115" spans="1:16">
      <c r="A115" s="1" t="s">
        <v>60</v>
      </c>
      <c r="B115" s="1"/>
      <c r="C115" s="1">
        <v>0</v>
      </c>
      <c r="D115" s="1">
        <v>90</v>
      </c>
      <c r="E115" s="1"/>
      <c r="F115" s="1">
        <v>0</v>
      </c>
      <c r="G115" s="1"/>
      <c r="H115" s="1">
        <v>10</v>
      </c>
      <c r="I115" s="1"/>
      <c r="J115" s="1"/>
      <c r="K115" s="1"/>
      <c r="L115" s="1"/>
      <c r="M115" s="1"/>
      <c r="N115" s="19">
        <f t="shared" si="2"/>
        <v>100</v>
      </c>
      <c r="O115" s="16" t="s">
        <v>118</v>
      </c>
    </row>
    <row r="116" spans="1:16">
      <c r="A116" s="1" t="s">
        <v>60</v>
      </c>
      <c r="B116" s="1"/>
      <c r="C116" s="1"/>
      <c r="D116" s="1">
        <v>70</v>
      </c>
      <c r="E116" s="1"/>
      <c r="F116" s="1">
        <v>30</v>
      </c>
      <c r="G116" s="1"/>
      <c r="H116" s="1"/>
      <c r="I116" s="1"/>
      <c r="J116" s="1"/>
      <c r="K116" s="1"/>
      <c r="L116" s="1"/>
      <c r="M116" s="1"/>
      <c r="N116" s="19">
        <f t="shared" si="2"/>
        <v>100</v>
      </c>
      <c r="O116" s="16" t="s">
        <v>113</v>
      </c>
    </row>
    <row r="117" spans="1:16">
      <c r="A117" s="1" t="s">
        <v>61</v>
      </c>
      <c r="B117" s="1"/>
      <c r="C117" s="1"/>
      <c r="D117" s="1">
        <v>100</v>
      </c>
      <c r="E117" s="1"/>
      <c r="F117" s="1"/>
      <c r="G117" s="1"/>
      <c r="H117" s="1"/>
      <c r="I117" s="1"/>
      <c r="J117" s="1"/>
      <c r="K117" s="1"/>
      <c r="L117" s="1"/>
      <c r="M117" s="1"/>
      <c r="N117" s="19">
        <f t="shared" si="2"/>
        <v>100</v>
      </c>
      <c r="O117" s="16" t="s">
        <v>113</v>
      </c>
    </row>
    <row r="118" spans="1:16">
      <c r="A118" s="1" t="s">
        <v>151</v>
      </c>
      <c r="B118" s="1"/>
      <c r="C118" s="1"/>
      <c r="D118" s="1">
        <v>100</v>
      </c>
      <c r="E118" s="1"/>
      <c r="F118" s="1"/>
      <c r="G118" s="1"/>
      <c r="H118" s="1"/>
      <c r="I118" s="1"/>
      <c r="J118" s="1"/>
      <c r="K118" s="1"/>
      <c r="L118" s="1"/>
      <c r="M118" s="1"/>
      <c r="N118" s="19">
        <f t="shared" si="2"/>
        <v>100</v>
      </c>
      <c r="O118" s="16" t="s">
        <v>120</v>
      </c>
    </row>
    <row r="119" spans="1:16">
      <c r="A119" s="19" t="s">
        <v>62</v>
      </c>
      <c r="B119" s="1">
        <v>20</v>
      </c>
      <c r="C119" s="1"/>
      <c r="D119" s="1">
        <v>80</v>
      </c>
      <c r="E119" s="1"/>
      <c r="F119" s="1"/>
      <c r="G119" s="1"/>
      <c r="H119" s="1"/>
      <c r="I119" s="1"/>
      <c r="J119" s="1"/>
      <c r="K119" s="1"/>
      <c r="L119" s="1"/>
      <c r="M119" s="1"/>
      <c r="N119" s="19">
        <f t="shared" si="2"/>
        <v>100</v>
      </c>
      <c r="O119" s="16" t="s">
        <v>76</v>
      </c>
    </row>
    <row r="120" spans="1:16">
      <c r="A120" s="1" t="s">
        <v>63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>
        <f t="shared" si="2"/>
        <v>0</v>
      </c>
      <c r="O120" s="19"/>
    </row>
    <row r="121" spans="1:16">
      <c r="A121" s="1" t="s">
        <v>64</v>
      </c>
      <c r="B121" s="1"/>
      <c r="C121" s="1">
        <v>50</v>
      </c>
      <c r="D121" s="1"/>
      <c r="E121" s="1"/>
      <c r="F121" s="1" t="s">
        <v>73</v>
      </c>
      <c r="G121" s="1"/>
      <c r="H121" s="1"/>
      <c r="I121" s="1"/>
      <c r="J121" s="1"/>
      <c r="K121" s="1"/>
      <c r="L121" s="1"/>
      <c r="M121" s="1"/>
      <c r="N121" s="19">
        <f t="shared" si="2"/>
        <v>50</v>
      </c>
      <c r="O121" s="16" t="s">
        <v>113</v>
      </c>
    </row>
    <row r="122" spans="1:16">
      <c r="A122" s="1" t="s">
        <v>152</v>
      </c>
      <c r="B122" s="1">
        <v>100</v>
      </c>
      <c r="C122" s="1"/>
      <c r="D122" s="1"/>
      <c r="E122" s="1"/>
      <c r="F122" s="1">
        <v>0</v>
      </c>
      <c r="G122" s="1"/>
      <c r="H122" s="1"/>
      <c r="I122" s="1"/>
      <c r="J122" s="1"/>
      <c r="K122" s="1"/>
      <c r="L122" s="1"/>
      <c r="M122" s="1"/>
      <c r="N122" s="19">
        <f t="shared" si="2"/>
        <v>100</v>
      </c>
      <c r="O122" s="16" t="s">
        <v>76</v>
      </c>
    </row>
    <row r="123" spans="1:16">
      <c r="A123" s="19" t="s">
        <v>65</v>
      </c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>
        <f t="shared" si="2"/>
        <v>0</v>
      </c>
      <c r="O123" s="16" t="s">
        <v>92</v>
      </c>
    </row>
    <row r="124" spans="1:16">
      <c r="H124" s="2"/>
      <c r="P124" s="19"/>
    </row>
  </sheetData>
  <mergeCells count="1">
    <mergeCell ref="B1:N1"/>
  </mergeCells>
  <conditionalFormatting sqref="B4:M12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Qualatitive converted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Bentley</dc:creator>
  <cp:lastModifiedBy>Rebecca Bentley</cp:lastModifiedBy>
  <dcterms:created xsi:type="dcterms:W3CDTF">2025-03-06T14:30:32Z</dcterms:created>
  <dcterms:modified xsi:type="dcterms:W3CDTF">2026-03-13T23:25:41Z</dcterms:modified>
</cp:coreProperties>
</file>